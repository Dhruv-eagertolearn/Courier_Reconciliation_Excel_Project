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 Statement" sheetId="1" state="visible" r:id="rId3"/>
    <sheet name="Summary" sheetId="2" state="visible" r:id="rId4"/>
    <sheet name="Order Level Calculation" sheetId="3" state="visible" r:id="rId5"/>
    <sheet name="Order Report" sheetId="4" state="visible" r:id="rId6"/>
    <sheet name="SKU Master" sheetId="5" state="visible" r:id="rId7"/>
    <sheet name="Pincode Zones" sheetId="6" state="visible" r:id="rId8"/>
    <sheet name="Courier Invoice" sheetId="7" state="visible" r:id="rId9"/>
    <sheet name="Courier Ra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<sst xmlns="http://schemas.openxmlformats.org/spreadsheetml/2006/main" count="1881" uniqueCount="517">
  <si>
    <t xml:space="preserve">COURIER BILLING RECONCILIATION — DATA ANALYST PROJECT</t>
  </si>
  <si>
    <t xml:space="preserve">Business Scenario</t>
  </si>
  <si>
    <t xml:space="preserve">Company X is a large Indian e-commerce company that ships thousands of orders daily through multiple courier partners. Courier charges depend on (1) shipment weight and (2) delivery zone (distance between warehouse and customer). X wants to verify whether courier partners are charging the correct amount per order.</t>
  </si>
  <si>
    <t xml:space="preserve">Objective</t>
  </si>
  <si>
    <t xml:space="preserve">For every order, independently calculate the expected courier charge using X's own records, then compare it against the amount actually billed by the courier company — and flag orders that were overcharged or undercharged.</t>
  </si>
  <si>
    <t xml:space="preserve">Input Data (provided as separate sheets in this workbook)</t>
  </si>
  <si>
    <t xml:space="preserve">• Order Report — Order ID, SKU, and quantity for every line item in every order</t>
  </si>
  <si>
    <t xml:space="preserve">• SKU Master — gross weight (grams) of each product SKU</t>
  </si>
  <si>
    <t xml:space="preserve">• Pincode Zones — warehouse-to-customer pincode combinations mapped to a delivery zone (a–e)</t>
  </si>
  <si>
    <t xml:space="preserve">• Courier Invoice — courier's own AWB number, order ID, charged weight, zone, shipment type, and billed amount</t>
  </si>
  <si>
    <t xml:space="preserve">• Courier Rates — courier's rate card (fixed + additional charge per 0.5 kg slab, by zone and shipment type)</t>
  </si>
  <si>
    <t xml:space="preserve">Method</t>
  </si>
  <si>
    <t xml:space="preserve">1. Compute total shipment weight per order from Order Report × SKU Master, then round up to the nearest 0.5 kg slab (courier charges in 0.5 kg multiples).</t>
  </si>
  <si>
    <t xml:space="preserve">2. Look up the delivery zone per order using the warehouse–customer pincode pair against the Pincode Zones table.</t>
  </si>
  <si>
    <t xml:space="preserve">3. Calculate the expected charge using the weight slab, zone, and shipment type against the Courier Rate card (fixed rate for the first 0.5 kg + additional rate for each extra 0.5 kg; add RTO charges too when the invoice specifies 'Forward and RTO charges').</t>
  </si>
  <si>
    <t xml:space="preserve">4. Compare the expected charge to the amount actually billed by the courier, and classify each order as correctly charged, overcharged, or undercharged.</t>
  </si>
  <si>
    <t xml:space="preserve">Deliverables (see other tabs in this workbook)</t>
  </si>
  <si>
    <t xml:space="preserve">• Order Level Calculation — full order-by-order comparison with live Excel formulas</t>
  </si>
  <si>
    <t xml:space="preserve">• Summary — count and total amount for correctly charged / overcharged / undercharged orders</t>
  </si>
  <si>
    <t xml:space="preserve">All calculations in the 'Order Level Calculation' and 'Summary' tabs are live formulas (SUMIF, INDEX/MATCH, CEILING) referencing the raw data tabs — nothing is hardcoded.</t>
  </si>
  <si>
    <t xml:space="preserve">COURIER BILLING RECONCILIATION — SUMMARY</t>
  </si>
  <si>
    <t xml:space="preserve">Count</t>
  </si>
  <si>
    <t xml:space="preserve">Amount (Rs.)</t>
  </si>
  <si>
    <t xml:space="preserve">Total orders where X has been correctly charged</t>
  </si>
  <si>
    <t xml:space="preserve">Total orders where X has been overcharged</t>
  </si>
  <si>
    <t xml:space="preserve">Total orders where X has been undercharged</t>
  </si>
  <si>
    <t xml:space="preserve">Note: Difference = Charges Billed by Courier − Expected Charge as per X. Positive = overcharged, negative = undercharged, zero = correctly charged.</t>
  </si>
  <si>
    <t xml:space="preserve">Order ID</t>
  </si>
  <si>
    <t xml:space="preserve">AWB Number</t>
  </si>
  <si>
    <t xml:space="preserve">Total Weight as per X (KG)</t>
  </si>
  <si>
    <t xml:space="preserve">Weight Slab as per X (KG)</t>
  </si>
  <si>
    <t xml:space="preserve">Total Weight as per Courier Company (KG)</t>
  </si>
  <si>
    <t xml:space="preserve">Weight Slab charged by Courier Company (KG)</t>
  </si>
  <si>
    <t xml:space="preserve">Delivery Zone as per X</t>
  </si>
  <si>
    <t xml:space="preserve">Delivery Zone charged by Courier Company</t>
  </si>
  <si>
    <t xml:space="preserve">Expected Charge as per X (Rs.)</t>
  </si>
  <si>
    <t xml:space="preserve">Charges Billed by Courier Company (Rs.)</t>
  </si>
  <si>
    <t xml:space="preserve">Difference (Billed - Expected) (Rs.)</t>
  </si>
  <si>
    <t xml:space="preserve">ExternOrderNo</t>
  </si>
  <si>
    <t xml:space="preserve">SKU</t>
  </si>
  <si>
    <t xml:space="preserve">Order Qty</t>
  </si>
  <si>
    <t xml:space="preserve">Line Weight (g)</t>
  </si>
  <si>
    <t xml:space="preserve">2001827036</t>
  </si>
  <si>
    <t xml:space="preserve">1.00</t>
  </si>
  <si>
    <t xml:space="preserve">GIFTBOX202002</t>
  </si>
  <si>
    <t xml:space="preserve">2.00</t>
  </si>
  <si>
    <t xml:space="preserve">SACHETS001</t>
  </si>
  <si>
    <t xml:space="preserve">2001825261</t>
  </si>
  <si>
    <t xml:space="preserve">4.00</t>
  </si>
  <si>
    <t xml:space="preserve">3.00</t>
  </si>
  <si>
    <t xml:space="preserve">2001823564</t>
  </si>
  <si>
    <t xml:space="preserve">2001822466</t>
  </si>
  <si>
    <t xml:space="preserve">8.00</t>
  </si>
  <si>
    <t xml:space="preserve">2001821995</t>
  </si>
  <si>
    <t xml:space="preserve">2001821766</t>
  </si>
  <si>
    <t xml:space="preserve">2001821750</t>
  </si>
  <si>
    <t xml:space="preserve">2001821742</t>
  </si>
  <si>
    <t xml:space="preserve">2001821679</t>
  </si>
  <si>
    <t xml:space="preserve">2001821502</t>
  </si>
  <si>
    <t xml:space="preserve">2001821284</t>
  </si>
  <si>
    <t xml:space="preserve">2001821190</t>
  </si>
  <si>
    <t xml:space="preserve">2001821185</t>
  </si>
  <si>
    <t xml:space="preserve">2001820978</t>
  </si>
  <si>
    <t xml:space="preserve">2001820690</t>
  </si>
  <si>
    <t xml:space="preserve">2001819252</t>
  </si>
  <si>
    <t xml:space="preserve">2001818390</t>
  </si>
  <si>
    <t xml:space="preserve">2001817160</t>
  </si>
  <si>
    <t xml:space="preserve">2001817093</t>
  </si>
  <si>
    <t xml:space="preserve">2001816996</t>
  </si>
  <si>
    <t xml:space="preserve">2001816684</t>
  </si>
  <si>
    <t xml:space="preserve">2001816131</t>
  </si>
  <si>
    <t xml:space="preserve">2001815688</t>
  </si>
  <si>
    <t xml:space="preserve">2001814580</t>
  </si>
  <si>
    <t xml:space="preserve">2001813009</t>
  </si>
  <si>
    <t xml:space="preserve">2001812941</t>
  </si>
  <si>
    <t xml:space="preserve">2001812854</t>
  </si>
  <si>
    <t xml:space="preserve">GIFTBOX202003</t>
  </si>
  <si>
    <t xml:space="preserve">2001812838</t>
  </si>
  <si>
    <t xml:space="preserve">2001812650</t>
  </si>
  <si>
    <t xml:space="preserve">2001812195</t>
  </si>
  <si>
    <t xml:space="preserve">2001811809</t>
  </si>
  <si>
    <t xml:space="preserve">2001811604</t>
  </si>
  <si>
    <t xml:space="preserve">2001811475</t>
  </si>
  <si>
    <t xml:space="preserve">2001811466</t>
  </si>
  <si>
    <t xml:space="preserve">2001811363</t>
  </si>
  <si>
    <t xml:space="preserve">2001811306</t>
  </si>
  <si>
    <t xml:space="preserve">2001811305</t>
  </si>
  <si>
    <t xml:space="preserve">2001811229</t>
  </si>
  <si>
    <t xml:space="preserve">2001811192</t>
  </si>
  <si>
    <t xml:space="preserve">2001811153</t>
  </si>
  <si>
    <t xml:space="preserve">2001811058</t>
  </si>
  <si>
    <t xml:space="preserve">2001811039</t>
  </si>
  <si>
    <t xml:space="preserve">2001810697</t>
  </si>
  <si>
    <t xml:space="preserve">2001810549</t>
  </si>
  <si>
    <t xml:space="preserve">2001810281</t>
  </si>
  <si>
    <t xml:space="preserve">2001810125</t>
  </si>
  <si>
    <t xml:space="preserve">2001810104</t>
  </si>
  <si>
    <t xml:space="preserve">2001809934</t>
  </si>
  <si>
    <t xml:space="preserve">2001809917</t>
  </si>
  <si>
    <t xml:space="preserve">2001809820</t>
  </si>
  <si>
    <t xml:space="preserve">2001809794</t>
  </si>
  <si>
    <t xml:space="preserve">GIFTBOX202004</t>
  </si>
  <si>
    <t xml:space="preserve">2001809592</t>
  </si>
  <si>
    <t xml:space="preserve">2001809383</t>
  </si>
  <si>
    <t xml:space="preserve">2001809270</t>
  </si>
  <si>
    <t xml:space="preserve">2001808992</t>
  </si>
  <si>
    <t xml:space="preserve">2001808883</t>
  </si>
  <si>
    <t xml:space="preserve">2001808837</t>
  </si>
  <si>
    <t xml:space="preserve">2001808832</t>
  </si>
  <si>
    <t xml:space="preserve">2001808801</t>
  </si>
  <si>
    <t xml:space="preserve">2001808739</t>
  </si>
  <si>
    <t xml:space="preserve">2001808679</t>
  </si>
  <si>
    <t xml:space="preserve">2001808675</t>
  </si>
  <si>
    <t xml:space="preserve">GIFTBOX202001</t>
  </si>
  <si>
    <t xml:space="preserve">2001808585</t>
  </si>
  <si>
    <t xml:space="preserve">2001808542</t>
  </si>
  <si>
    <t xml:space="preserve">2001808507</t>
  </si>
  <si>
    <t xml:space="preserve">2001808475</t>
  </si>
  <si>
    <t xml:space="preserve">2001808295</t>
  </si>
  <si>
    <t xml:space="preserve">2001808286</t>
  </si>
  <si>
    <t xml:space="preserve">2001808207</t>
  </si>
  <si>
    <t xml:space="preserve">2001808118</t>
  </si>
  <si>
    <t xml:space="preserve">2001808102</t>
  </si>
  <si>
    <t xml:space="preserve">2001807981</t>
  </si>
  <si>
    <t xml:space="preserve">2001807976</t>
  </si>
  <si>
    <t xml:space="preserve">2001807970</t>
  </si>
  <si>
    <t xml:space="preserve">2001807960</t>
  </si>
  <si>
    <t xml:space="preserve">2001807956</t>
  </si>
  <si>
    <t xml:space="preserve">2001807931</t>
  </si>
  <si>
    <t xml:space="preserve">2001807930</t>
  </si>
  <si>
    <t xml:space="preserve">2001807852</t>
  </si>
  <si>
    <t xml:space="preserve">2001807814</t>
  </si>
  <si>
    <t xml:space="preserve">2001807785</t>
  </si>
  <si>
    <t xml:space="preserve">2001807613</t>
  </si>
  <si>
    <t xml:space="preserve">2001807415</t>
  </si>
  <si>
    <t xml:space="preserve">2001807362</t>
  </si>
  <si>
    <t xml:space="preserve">6.00</t>
  </si>
  <si>
    <t xml:space="preserve">2001807329</t>
  </si>
  <si>
    <t xml:space="preserve">2001807328</t>
  </si>
  <si>
    <t xml:space="preserve">2001807290</t>
  </si>
  <si>
    <t xml:space="preserve">2001807241</t>
  </si>
  <si>
    <t xml:space="preserve">2001807186</t>
  </si>
  <si>
    <t xml:space="preserve">2001807084</t>
  </si>
  <si>
    <t xml:space="preserve">2001807058</t>
  </si>
  <si>
    <t xml:space="preserve">2001807036</t>
  </si>
  <si>
    <t xml:space="preserve">2001807012</t>
  </si>
  <si>
    <t xml:space="preserve">2001807004</t>
  </si>
  <si>
    <t xml:space="preserve">2001806968</t>
  </si>
  <si>
    <t xml:space="preserve">2001806885</t>
  </si>
  <si>
    <t xml:space="preserve">2001806828</t>
  </si>
  <si>
    <t xml:space="preserve">2001806823</t>
  </si>
  <si>
    <t xml:space="preserve">2001806801</t>
  </si>
  <si>
    <t xml:space="preserve">2001806776</t>
  </si>
  <si>
    <t xml:space="preserve">2001806768</t>
  </si>
  <si>
    <t xml:space="preserve">2001806735</t>
  </si>
  <si>
    <t xml:space="preserve">2001806733</t>
  </si>
  <si>
    <t xml:space="preserve">2001806726</t>
  </si>
  <si>
    <t xml:space="preserve">2001806686</t>
  </si>
  <si>
    <t xml:space="preserve">2001806652</t>
  </si>
  <si>
    <t xml:space="preserve">2001806616</t>
  </si>
  <si>
    <t xml:space="preserve">2001806575</t>
  </si>
  <si>
    <t xml:space="preserve">2001806567</t>
  </si>
  <si>
    <t xml:space="preserve">2001806547</t>
  </si>
  <si>
    <t xml:space="preserve">2001806533</t>
  </si>
  <si>
    <t xml:space="preserve">2001806471</t>
  </si>
  <si>
    <t xml:space="preserve">2001806458</t>
  </si>
  <si>
    <t xml:space="preserve">2001806446</t>
  </si>
  <si>
    <t xml:space="preserve">2001806408</t>
  </si>
  <si>
    <t xml:space="preserve">2001806338</t>
  </si>
  <si>
    <t xml:space="preserve">2001806304</t>
  </si>
  <si>
    <t xml:space="preserve">2001806273</t>
  </si>
  <si>
    <t xml:space="preserve">2001806251</t>
  </si>
  <si>
    <t xml:space="preserve">2001806233</t>
  </si>
  <si>
    <t xml:space="preserve">2001806232</t>
  </si>
  <si>
    <t xml:space="preserve">2001806229</t>
  </si>
  <si>
    <t xml:space="preserve">2001806226</t>
  </si>
  <si>
    <t xml:space="preserve">2001806210</t>
  </si>
  <si>
    <t xml:space="preserve">Weight (g)</t>
  </si>
  <si>
    <t xml:space="preserve">Warehouse Pincode</t>
  </si>
  <si>
    <t xml:space="preserve">Customer Pincode</t>
  </si>
  <si>
    <t xml:space="preserve">Zone</t>
  </si>
  <si>
    <t xml:space="preserve">Match Key</t>
  </si>
  <si>
    <t xml:space="preserve">d</t>
  </si>
  <si>
    <t xml:space="preserve">b</t>
  </si>
  <si>
    <t xml:space="preserve">e</t>
  </si>
  <si>
    <t xml:space="preserve">AWB Code</t>
  </si>
  <si>
    <t xml:space="preserve">Charged Weight</t>
  </si>
  <si>
    <t xml:space="preserve">Type of Shipment</t>
  </si>
  <si>
    <t xml:space="preserve">Billing Amount (Rs.)</t>
  </si>
  <si>
    <t xml:space="preserve">1091117222124</t>
  </si>
  <si>
    <t xml:space="preserve">1.3</t>
  </si>
  <si>
    <t xml:space="preserve">507101</t>
  </si>
  <si>
    <t xml:space="preserve">Forward charges</t>
  </si>
  <si>
    <t xml:space="preserve">135</t>
  </si>
  <si>
    <t xml:space="preserve">1091117222194</t>
  </si>
  <si>
    <t xml:space="preserve">1</t>
  </si>
  <si>
    <t xml:space="preserve">486886</t>
  </si>
  <si>
    <t xml:space="preserve">90.2</t>
  </si>
  <si>
    <t xml:space="preserve">1091117222931</t>
  </si>
  <si>
    <t xml:space="preserve">2.5</t>
  </si>
  <si>
    <t xml:space="preserve">532484</t>
  </si>
  <si>
    <t xml:space="preserve">224.6</t>
  </si>
  <si>
    <t xml:space="preserve">1091117223244</t>
  </si>
  <si>
    <t xml:space="preserve">143001</t>
  </si>
  <si>
    <t xml:space="preserve">61.3</t>
  </si>
  <si>
    <t xml:space="preserve">1091117229345</t>
  </si>
  <si>
    <t xml:space="preserve">0.15</t>
  </si>
  <si>
    <t xml:space="preserve">515591</t>
  </si>
  <si>
    <t xml:space="preserve">45.4</t>
  </si>
  <si>
    <t xml:space="preserve">1091117229555</t>
  </si>
  <si>
    <t xml:space="preserve">326502</t>
  </si>
  <si>
    <t xml:space="preserve">1091117229776</t>
  </si>
  <si>
    <t xml:space="preserve">208019</t>
  </si>
  <si>
    <t xml:space="preserve">1091117323112</t>
  </si>
  <si>
    <t xml:space="preserve">1.15</t>
  </si>
  <si>
    <t xml:space="preserve">140301</t>
  </si>
  <si>
    <t xml:space="preserve">89.6</t>
  </si>
  <si>
    <t xml:space="preserve">1091117323812</t>
  </si>
  <si>
    <t xml:space="preserve">0.5</t>
  </si>
  <si>
    <t xml:space="preserve">396001</t>
  </si>
  <si>
    <t xml:space="preserve">1091117324206</t>
  </si>
  <si>
    <t xml:space="preserve">711106</t>
  </si>
  <si>
    <t xml:space="preserve">1091117326612</t>
  </si>
  <si>
    <t xml:space="preserve">0.79</t>
  </si>
  <si>
    <t xml:space="preserve">284001</t>
  </si>
  <si>
    <t xml:space="preserve">1091117327172</t>
  </si>
  <si>
    <t xml:space="preserve">0.72</t>
  </si>
  <si>
    <t xml:space="preserve">441601</t>
  </si>
  <si>
    <t xml:space="preserve">1091117327275</t>
  </si>
  <si>
    <t xml:space="preserve">1.08</t>
  </si>
  <si>
    <t xml:space="preserve">248006</t>
  </si>
  <si>
    <t xml:space="preserve">1091117327312</t>
  </si>
  <si>
    <t xml:space="preserve">485001</t>
  </si>
  <si>
    <t xml:space="preserve">1091117327695</t>
  </si>
  <si>
    <t xml:space="preserve">845438</t>
  </si>
  <si>
    <t xml:space="preserve">1091117435005</t>
  </si>
  <si>
    <t xml:space="preserve">1.28</t>
  </si>
  <si>
    <t xml:space="preserve">463106</t>
  </si>
  <si>
    <t xml:space="preserve">1091117435134</t>
  </si>
  <si>
    <t xml:space="preserve">33</t>
  </si>
  <si>
    <t xml:space="preserve">1091117435370</t>
  </si>
  <si>
    <t xml:space="preserve">495671</t>
  </si>
  <si>
    <t xml:space="preserve">1091117435661</t>
  </si>
  <si>
    <t xml:space="preserve">0.2</t>
  </si>
  <si>
    <t xml:space="preserve">673002</t>
  </si>
  <si>
    <t xml:space="preserve">Forward and RTO charges</t>
  </si>
  <si>
    <t xml:space="preserve">107.3</t>
  </si>
  <si>
    <t xml:space="preserve">1091117436383</t>
  </si>
  <si>
    <t xml:space="preserve">208002</t>
  </si>
  <si>
    <t xml:space="preserve">1091117436464</t>
  </si>
  <si>
    <t xml:space="preserve">0.86</t>
  </si>
  <si>
    <t xml:space="preserve">416010</t>
  </si>
  <si>
    <t xml:space="preserve">1091117437050</t>
  </si>
  <si>
    <t xml:space="preserve">1.2</t>
  </si>
  <si>
    <t xml:space="preserve">226010</t>
  </si>
  <si>
    <t xml:space="preserve">1091117327496</t>
  </si>
  <si>
    <t xml:space="preserve">0.7</t>
  </si>
  <si>
    <t xml:space="preserve">400705</t>
  </si>
  <si>
    <t xml:space="preserve">172.8</t>
  </si>
  <si>
    <t xml:space="preserve">1091118547832</t>
  </si>
  <si>
    <t xml:space="preserve">0.6</t>
  </si>
  <si>
    <t xml:space="preserve">262405</t>
  </si>
  <si>
    <t xml:space="preserve">102.3</t>
  </si>
  <si>
    <t xml:space="preserve">1091119398844</t>
  </si>
  <si>
    <t xml:space="preserve">0.99</t>
  </si>
  <si>
    <t xml:space="preserve">394210</t>
  </si>
  <si>
    <t xml:space="preserve">1091119630264</t>
  </si>
  <si>
    <t xml:space="preserve">411014</t>
  </si>
  <si>
    <t xml:space="preserve">1091120014461</t>
  </si>
  <si>
    <t xml:space="preserve">0.8</t>
  </si>
  <si>
    <t xml:space="preserve">783301</t>
  </si>
  <si>
    <t xml:space="preserve">213.5</t>
  </si>
  <si>
    <t xml:space="preserve">1091120959015</t>
  </si>
  <si>
    <t xml:space="preserve">486661</t>
  </si>
  <si>
    <t xml:space="preserve">258.9</t>
  </si>
  <si>
    <t xml:space="preserve">1091121485824</t>
  </si>
  <si>
    <t xml:space="preserve">244001</t>
  </si>
  <si>
    <t xml:space="preserve">151.1</t>
  </si>
  <si>
    <t xml:space="preserve">1091121666133</t>
  </si>
  <si>
    <t xml:space="preserve">492001</t>
  </si>
  <si>
    <t xml:space="preserve">1091121981575</t>
  </si>
  <si>
    <t xml:space="preserve">1.6</t>
  </si>
  <si>
    <t xml:space="preserve">517128</t>
  </si>
  <si>
    <t xml:space="preserve">345</t>
  </si>
  <si>
    <t xml:space="preserve">1091117957780</t>
  </si>
  <si>
    <t xml:space="preserve">1.13</t>
  </si>
  <si>
    <t xml:space="preserve">562110</t>
  </si>
  <si>
    <t xml:space="preserve">1091121482593</t>
  </si>
  <si>
    <t xml:space="preserve">831006</t>
  </si>
  <si>
    <t xml:space="preserve">1091117221940</t>
  </si>
  <si>
    <t xml:space="preserve">2.92</t>
  </si>
  <si>
    <t xml:space="preserve">140604</t>
  </si>
  <si>
    <t xml:space="preserve">174.5</t>
  </si>
  <si>
    <t xml:space="preserve">1091117222065</t>
  </si>
  <si>
    <t xml:space="preserve">0.68</t>
  </si>
  <si>
    <t xml:space="preserve">723146</t>
  </si>
  <si>
    <t xml:space="preserve">1091117222080</t>
  </si>
  <si>
    <t xml:space="preserve">0.71</t>
  </si>
  <si>
    <t xml:space="preserve">421204</t>
  </si>
  <si>
    <t xml:space="preserve">1091117222135</t>
  </si>
  <si>
    <t xml:space="preserve">0.78</t>
  </si>
  <si>
    <t xml:space="preserve">263139</t>
  </si>
  <si>
    <t xml:space="preserve">1091117222146</t>
  </si>
  <si>
    <t xml:space="preserve">1.27</t>
  </si>
  <si>
    <t xml:space="preserve">743263</t>
  </si>
  <si>
    <t xml:space="preserve">1091117222570</t>
  </si>
  <si>
    <t xml:space="preserve">392150</t>
  </si>
  <si>
    <t xml:space="preserve">1091117223211</t>
  </si>
  <si>
    <t xml:space="preserve">0.69</t>
  </si>
  <si>
    <t xml:space="preserve">382830</t>
  </si>
  <si>
    <t xml:space="preserve">1091117224353</t>
  </si>
  <si>
    <t xml:space="preserve">711303</t>
  </si>
  <si>
    <t xml:space="preserve">1091117224611</t>
  </si>
  <si>
    <t xml:space="preserve">283102</t>
  </si>
  <si>
    <t xml:space="preserve">1091117224902</t>
  </si>
  <si>
    <t xml:space="preserve">1.16</t>
  </si>
  <si>
    <t xml:space="preserve">370201</t>
  </si>
  <si>
    <t xml:space="preserve">1091117225016</t>
  </si>
  <si>
    <t xml:space="preserve">248001</t>
  </si>
  <si>
    <t xml:space="preserve">1091117225484</t>
  </si>
  <si>
    <t xml:space="preserve">144001</t>
  </si>
  <si>
    <t xml:space="preserve">1091117226221</t>
  </si>
  <si>
    <t xml:space="preserve">403401</t>
  </si>
  <si>
    <t xml:space="preserve">1091117226674</t>
  </si>
  <si>
    <t xml:space="preserve">452001</t>
  </si>
  <si>
    <t xml:space="preserve">1091117226711</t>
  </si>
  <si>
    <t xml:space="preserve">721636</t>
  </si>
  <si>
    <t xml:space="preserve">1091117226910</t>
  </si>
  <si>
    <t xml:space="preserve">831002</t>
  </si>
  <si>
    <t xml:space="preserve">1091117227573</t>
  </si>
  <si>
    <t xml:space="preserve">2.86</t>
  </si>
  <si>
    <t xml:space="preserve">226004</t>
  </si>
  <si>
    <t xml:space="preserve">1091117227816</t>
  </si>
  <si>
    <t xml:space="preserve">1.35</t>
  </si>
  <si>
    <t xml:space="preserve">1091117229290</t>
  </si>
  <si>
    <t xml:space="preserve">410206</t>
  </si>
  <si>
    <t xml:space="preserve">1091117323005</t>
  </si>
  <si>
    <t xml:space="preserve">1.64</t>
  </si>
  <si>
    <t xml:space="preserve">516503</t>
  </si>
  <si>
    <t xml:space="preserve">179.8</t>
  </si>
  <si>
    <t xml:space="preserve">1091117323215</t>
  </si>
  <si>
    <t xml:space="preserve">0.67</t>
  </si>
  <si>
    <t xml:space="preserve">742103</t>
  </si>
  <si>
    <t xml:space="preserve">1091117324394</t>
  </si>
  <si>
    <t xml:space="preserve">2</t>
  </si>
  <si>
    <t xml:space="preserve">452018</t>
  </si>
  <si>
    <t xml:space="preserve">1091117325094</t>
  </si>
  <si>
    <t xml:space="preserve">208001</t>
  </si>
  <si>
    <t xml:space="preserve">1091117616121</t>
  </si>
  <si>
    <t xml:space="preserve">1.5</t>
  </si>
  <si>
    <t xml:space="preserve">244713</t>
  </si>
  <si>
    <t xml:space="preserve">1091117795531</t>
  </si>
  <si>
    <t xml:space="preserve">580007</t>
  </si>
  <si>
    <t xml:space="preserve">1091117795623</t>
  </si>
  <si>
    <t xml:space="preserve">3</t>
  </si>
  <si>
    <t xml:space="preserve">360005</t>
  </si>
  <si>
    <t xml:space="preserve">269.4</t>
  </si>
  <si>
    <t xml:space="preserve">1091117223351</t>
  </si>
  <si>
    <t xml:space="preserve">1.7</t>
  </si>
  <si>
    <t xml:space="preserve">313027</t>
  </si>
  <si>
    <t xml:space="preserve">1091117324011</t>
  </si>
  <si>
    <t xml:space="preserve">341001</t>
  </si>
  <si>
    <t xml:space="preserve">1091117327570</t>
  </si>
  <si>
    <t xml:space="preserve">332715</t>
  </si>
  <si>
    <t xml:space="preserve">1091117435602</t>
  </si>
  <si>
    <t xml:space="preserve">0.77</t>
  </si>
  <si>
    <t xml:space="preserve">302031</t>
  </si>
  <si>
    <t xml:space="preserve">1091117437680</t>
  </si>
  <si>
    <t xml:space="preserve">335001</t>
  </si>
  <si>
    <t xml:space="preserve">1091117804200</t>
  </si>
  <si>
    <t xml:space="preserve">0.76</t>
  </si>
  <si>
    <t xml:space="preserve">334004</t>
  </si>
  <si>
    <t xml:space="preserve">1091117957533</t>
  </si>
  <si>
    <t xml:space="preserve">321001</t>
  </si>
  <si>
    <t xml:space="preserve">1091117957942</t>
  </si>
  <si>
    <t xml:space="preserve">324001</t>
  </si>
  <si>
    <t xml:space="preserve">1091117958395</t>
  </si>
  <si>
    <t xml:space="preserve">0.59</t>
  </si>
  <si>
    <t xml:space="preserve">321608</t>
  </si>
  <si>
    <t xml:space="preserve">1091118001865</t>
  </si>
  <si>
    <t xml:space="preserve">302002</t>
  </si>
  <si>
    <t xml:space="preserve">1091118009786</t>
  </si>
  <si>
    <t xml:space="preserve">311011</t>
  </si>
  <si>
    <t xml:space="preserve">86.7</t>
  </si>
  <si>
    <t xml:space="preserve">1091118548333</t>
  </si>
  <si>
    <t xml:space="preserve">2.94</t>
  </si>
  <si>
    <t xml:space="preserve">306302</t>
  </si>
  <si>
    <t xml:space="preserve">1091118553701</t>
  </si>
  <si>
    <t xml:space="preserve">313001</t>
  </si>
  <si>
    <t xml:space="preserve">1091118591534</t>
  </si>
  <si>
    <t xml:space="preserve">0.61</t>
  </si>
  <si>
    <t xml:space="preserve">1091118925110</t>
  </si>
  <si>
    <t xml:space="preserve">322255</t>
  </si>
  <si>
    <t xml:space="preserve">1091119169701</t>
  </si>
  <si>
    <t xml:space="preserve">302017</t>
  </si>
  <si>
    <t xml:space="preserve">1091119367193</t>
  </si>
  <si>
    <t xml:space="preserve">1091119429202</t>
  </si>
  <si>
    <t xml:space="preserve">335512</t>
  </si>
  <si>
    <t xml:space="preserve">1091120959225</t>
  </si>
  <si>
    <t xml:space="preserve">2.1</t>
  </si>
  <si>
    <t xml:space="preserve">1091120962515</t>
  </si>
  <si>
    <t xml:space="preserve">1091121031745</t>
  </si>
  <si>
    <t xml:space="preserve">307026</t>
  </si>
  <si>
    <t xml:space="preserve">1091121034114</t>
  </si>
  <si>
    <t xml:space="preserve">327025</t>
  </si>
  <si>
    <t xml:space="preserve">1091121034350</t>
  </si>
  <si>
    <t xml:space="preserve">313333</t>
  </si>
  <si>
    <t xml:space="preserve">1091121034641</t>
  </si>
  <si>
    <t xml:space="preserve">1091121183730</t>
  </si>
  <si>
    <t xml:space="preserve">342008</t>
  </si>
  <si>
    <t xml:space="preserve">1091121185863</t>
  </si>
  <si>
    <t xml:space="preserve">314401</t>
  </si>
  <si>
    <t xml:space="preserve">1091121305541</t>
  </si>
  <si>
    <t xml:space="preserve">1.1</t>
  </si>
  <si>
    <t xml:space="preserve">342301</t>
  </si>
  <si>
    <t xml:space="preserve">1091121306101</t>
  </si>
  <si>
    <t xml:space="preserve">313003</t>
  </si>
  <si>
    <t xml:space="preserve">1091118004245</t>
  </si>
  <si>
    <t xml:space="preserve">173212</t>
  </si>
  <si>
    <t xml:space="preserve">1091120352712</t>
  </si>
  <si>
    <t xml:space="preserve">0.3</t>
  </si>
  <si>
    <t xml:space="preserve">174101</t>
  </si>
  <si>
    <t xml:space="preserve">1091122418320</t>
  </si>
  <si>
    <t xml:space="preserve">173213</t>
  </si>
  <si>
    <t xml:space="preserve">117.9</t>
  </si>
  <si>
    <t xml:space="preserve">1091117222360</t>
  </si>
  <si>
    <t xml:space="preserve">1091117227116</t>
  </si>
  <si>
    <t xml:space="preserve">1.02</t>
  </si>
  <si>
    <t xml:space="preserve">322201</t>
  </si>
  <si>
    <t xml:space="preserve">1091117228133</t>
  </si>
  <si>
    <t xml:space="preserve">314001</t>
  </si>
  <si>
    <t xml:space="preserve">1091117228192</t>
  </si>
  <si>
    <t xml:space="preserve">331022</t>
  </si>
  <si>
    <t xml:space="preserve">1091117229183</t>
  </si>
  <si>
    <t xml:space="preserve">305801</t>
  </si>
  <si>
    <t xml:space="preserve">1091117324346</t>
  </si>
  <si>
    <t xml:space="preserve">2.28</t>
  </si>
  <si>
    <t xml:space="preserve">335502</t>
  </si>
  <si>
    <t xml:space="preserve">1091117326424</t>
  </si>
  <si>
    <t xml:space="preserve">306116</t>
  </si>
  <si>
    <t xml:space="preserve">1091117326925</t>
  </si>
  <si>
    <t xml:space="preserve">0.74</t>
  </si>
  <si>
    <t xml:space="preserve">311001</t>
  </si>
  <si>
    <t xml:space="preserve">1091117327474</t>
  </si>
  <si>
    <t xml:space="preserve">4.13</t>
  </si>
  <si>
    <t xml:space="preserve">302019</t>
  </si>
  <si>
    <t xml:space="preserve">403.8</t>
  </si>
  <si>
    <t xml:space="preserve">1091117333100</t>
  </si>
  <si>
    <t xml:space="preserve">0.73</t>
  </si>
  <si>
    <t xml:space="preserve">302039</t>
  </si>
  <si>
    <t xml:space="preserve">1091117333251</t>
  </si>
  <si>
    <t xml:space="preserve">1.04</t>
  </si>
  <si>
    <t xml:space="preserve">335803</t>
  </si>
  <si>
    <t xml:space="preserve">1091117436346</t>
  </si>
  <si>
    <t xml:space="preserve">1091117436652</t>
  </si>
  <si>
    <t xml:space="preserve">175101</t>
  </si>
  <si>
    <t xml:space="preserve">1091117437035</t>
  </si>
  <si>
    <t xml:space="preserve">303903</t>
  </si>
  <si>
    <t xml:space="preserve">1091117437293</t>
  </si>
  <si>
    <t xml:space="preserve">1.63</t>
  </si>
  <si>
    <t xml:space="preserve">342012</t>
  </si>
  <si>
    <t xml:space="preserve">1091117437864</t>
  </si>
  <si>
    <t xml:space="preserve">2.47</t>
  </si>
  <si>
    <t xml:space="preserve">334001</t>
  </si>
  <si>
    <t xml:space="preserve">1091117437890</t>
  </si>
  <si>
    <t xml:space="preserve">1091117438074</t>
  </si>
  <si>
    <t xml:space="preserve">302012</t>
  </si>
  <si>
    <t xml:space="preserve">1091117611501</t>
  </si>
  <si>
    <t xml:space="preserve">342014</t>
  </si>
  <si>
    <t xml:space="preserve">1091117613962</t>
  </si>
  <si>
    <t xml:space="preserve">324005</t>
  </si>
  <si>
    <t xml:space="preserve">1091117803511</t>
  </si>
  <si>
    <t xml:space="preserve">0.82</t>
  </si>
  <si>
    <t xml:space="preserve">302001</t>
  </si>
  <si>
    <t xml:space="preserve">1091117804314</t>
  </si>
  <si>
    <t xml:space="preserve">0.66</t>
  </si>
  <si>
    <t xml:space="preserve">302004</t>
  </si>
  <si>
    <t xml:space="preserve">1091117805390</t>
  </si>
  <si>
    <t xml:space="preserve">302018</t>
  </si>
  <si>
    <t xml:space="preserve">1091117806263</t>
  </si>
  <si>
    <t xml:space="preserve">1.86</t>
  </si>
  <si>
    <t xml:space="preserve">1091117807140</t>
  </si>
  <si>
    <t xml:space="preserve">2.27</t>
  </si>
  <si>
    <t xml:space="preserve">324008</t>
  </si>
  <si>
    <t xml:space="preserve">1091117904860</t>
  </si>
  <si>
    <t xml:space="preserve">302020</t>
  </si>
  <si>
    <t xml:space="preserve">1091117905022</t>
  </si>
  <si>
    <t xml:space="preserve">1091117958163</t>
  </si>
  <si>
    <t xml:space="preserve">1091118442390</t>
  </si>
  <si>
    <t xml:space="preserve">1091118551656</t>
  </si>
  <si>
    <t xml:space="preserve">325207</t>
  </si>
  <si>
    <t xml:space="preserve">1091117614452</t>
  </si>
  <si>
    <t xml:space="preserve">303702</t>
  </si>
  <si>
    <t xml:space="preserve">1091120922803</t>
  </si>
  <si>
    <t xml:space="preserve">313301</t>
  </si>
  <si>
    <t xml:space="preserve">1091121844806</t>
  </si>
  <si>
    <t xml:space="preserve">1091121846136</t>
  </si>
  <si>
    <t xml:space="preserve">fwd_a_fixed</t>
  </si>
  <si>
    <t xml:space="preserve">fwd_a_additional</t>
  </si>
  <si>
    <t xml:space="preserve">fwd_b_fixed</t>
  </si>
  <si>
    <t xml:space="preserve">fwd_b_additional</t>
  </si>
  <si>
    <t xml:space="preserve">fwd_c_fixed</t>
  </si>
  <si>
    <t xml:space="preserve">fwd_c_additional</t>
  </si>
  <si>
    <t xml:space="preserve">fwd_d_fixed</t>
  </si>
  <si>
    <t xml:space="preserve">fwd_d_additional</t>
  </si>
  <si>
    <t xml:space="preserve">fwd_e_fixed</t>
  </si>
  <si>
    <t xml:space="preserve">fwd_e_additional</t>
  </si>
  <si>
    <t xml:space="preserve">rto_a_fixed</t>
  </si>
  <si>
    <t xml:space="preserve">rto_a_additional</t>
  </si>
  <si>
    <t xml:space="preserve">rto_b_fixed</t>
  </si>
  <si>
    <t xml:space="preserve">rto_b_additional</t>
  </si>
  <si>
    <t xml:space="preserve">rto_c_fixed</t>
  </si>
  <si>
    <t xml:space="preserve">rto_c_additional</t>
  </si>
  <si>
    <t xml:space="preserve">rto_d_fixed</t>
  </si>
  <si>
    <t xml:space="preserve">rto_d_additional</t>
  </si>
  <si>
    <t xml:space="preserve">rto_e_fixed</t>
  </si>
  <si>
    <t xml:space="preserve">rto_e_additional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</si>
</sst>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8" hidden="false" customHeight="true" outlineLevel="0" collapsed="false">
      <c r="A1" s="2" t="s">
        <v>0</v>
      </c>
    </row>
    <row r="2" customFormat="false" ht="18" hidden="false" customHeight="true" outlineLevel="0" collapsed="false">
      <c r="A2" s="3"/>
    </row>
    <row r="3" customFormat="false" ht="18" hidden="false" customHeight="true" outlineLevel="0" collapsed="false">
      <c r="A3" s="4" t="s">
        <v>1</v>
      </c>
    </row>
    <row r="4" customFormat="false" ht="33.75" hidden="false" customHeight="true" outlineLevel="0" collapsed="false">
      <c r="A4" s="3" t="s">
        <v>2</v>
      </c>
    </row>
    <row r="5" customFormat="false" ht="18" hidden="false" customHeight="true" outlineLevel="0" collapsed="false">
      <c r="A5" s="3"/>
    </row>
    <row r="6" customFormat="false" ht="18" hidden="false" customHeight="true" outlineLevel="0" collapsed="false">
      <c r="A6" s="4" t="s">
        <v>3</v>
      </c>
    </row>
    <row r="7" customFormat="false" ht="33.75" hidden="false" customHeight="true" outlineLevel="0" collapsed="false">
      <c r="A7" s="3" t="s">
        <v>4</v>
      </c>
    </row>
    <row r="8" customFormat="false" ht="18" hidden="false" customHeight="true" outlineLevel="0" collapsed="false">
      <c r="A8" s="3"/>
    </row>
    <row r="9" customFormat="false" ht="18" hidden="false" customHeight="true" outlineLevel="0" collapsed="false">
      <c r="A9" s="4" t="s">
        <v>5</v>
      </c>
    </row>
    <row r="10" customFormat="false" ht="27.75" hidden="false" customHeight="true" outlineLevel="0" collapsed="false">
      <c r="A10" s="3" t="s">
        <v>6</v>
      </c>
    </row>
    <row r="11" customFormat="false" ht="27.75" hidden="false" customHeight="true" outlineLevel="0" collapsed="false">
      <c r="A11" s="3" t="s">
        <v>7</v>
      </c>
    </row>
    <row r="12" customFormat="false" ht="33.75" hidden="false" customHeight="true" outlineLevel="0" collapsed="false">
      <c r="A12" s="3" t="s">
        <v>8</v>
      </c>
    </row>
    <row r="13" customFormat="false" ht="33.75" hidden="false" customHeight="true" outlineLevel="0" collapsed="false">
      <c r="A13" s="3" t="s">
        <v>9</v>
      </c>
    </row>
    <row r="14" customFormat="false" ht="33.75" hidden="false" customHeight="true" outlineLevel="0" collapsed="false">
      <c r="A14" s="3" t="s">
        <v>10</v>
      </c>
    </row>
    <row r="15" customFormat="false" ht="18" hidden="false" customHeight="true" outlineLevel="0" collapsed="false">
      <c r="A15" s="3"/>
    </row>
    <row r="16" customFormat="false" ht="18" hidden="false" customHeight="true" outlineLevel="0" collapsed="false">
      <c r="A16" s="4" t="s">
        <v>11</v>
      </c>
    </row>
    <row r="17" customFormat="false" ht="33.75" hidden="false" customHeight="true" outlineLevel="0" collapsed="false">
      <c r="A17" s="3" t="s">
        <v>12</v>
      </c>
    </row>
    <row r="18" customFormat="false" ht="33.75" hidden="false" customHeight="true" outlineLevel="0" collapsed="false">
      <c r="A18" s="3" t="s">
        <v>13</v>
      </c>
    </row>
    <row r="19" customFormat="false" ht="33.75" hidden="false" customHeight="true" outlineLevel="0" collapsed="false">
      <c r="A19" s="3" t="s">
        <v>14</v>
      </c>
    </row>
    <row r="20" customFormat="false" ht="33.75" hidden="false" customHeight="true" outlineLevel="0" collapsed="false">
      <c r="A20" s="3" t="s">
        <v>15</v>
      </c>
    </row>
    <row r="21" customFormat="false" ht="18" hidden="false" customHeight="true" outlineLevel="0" collapsed="false">
      <c r="A21" s="3"/>
    </row>
    <row r="22" customFormat="false" ht="18" hidden="false" customHeight="true" outlineLevel="0" collapsed="false">
      <c r="A22" s="4" t="s">
        <v>16</v>
      </c>
    </row>
    <row r="23" customFormat="false" ht="27.75" hidden="false" customHeight="true" outlineLevel="0" collapsed="false">
      <c r="A23" s="3" t="s">
        <v>17</v>
      </c>
    </row>
    <row r="24" customFormat="false" ht="33.75" hidden="false" customHeight="true" outlineLevel="0" collapsed="false">
      <c r="A24" s="3" t="s">
        <v>18</v>
      </c>
    </row>
    <row r="25" customFormat="false" ht="18" hidden="false" customHeight="true" outlineLevel="0" collapsed="false">
      <c r="A25" s="3"/>
    </row>
    <row r="26" customFormat="false" ht="18" hidden="false" customHeight="true" outlineLevel="0" collapsed="false">
      <c r="A26" s="5" t="s">
        <v>19</v>
      </c>
    </row>
  </sheetData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20"/>
  </cols>
  <sheetData>
    <row r="1" customFormat="false" ht="15.75" hidden="false" customHeight="true" outlineLevel="0" collapsed="false">
      <c r="A1" s="6" t="s">
        <v>20</v>
      </c>
      <c r="B1" s="6"/>
      <c r="C1" s="6"/>
    </row>
    <row r="3" customFormat="false" ht="15" hidden="false" customHeight="true" outlineLevel="0" collapsed="false">
      <c r="A3" s="7"/>
      <c r="B3" s="7" t="s">
        <v>21</v>
      </c>
      <c r="C3" s="7" t="s">
        <v>22</v>
      </c>
    </row>
    <row r="4" customFormat="false" ht="15" hidden="false" customHeight="true" outlineLevel="0" collapsed="false">
      <c r="A4" s="8" t="s">
        <v>23</v>
      </c>
      <c r="B4" s="8" t="n">
        <f aca="false">COUNTIF('Order Level Calculation'!$K$2:$K$125,0)</f>
        <v>22</v>
      </c>
      <c r="C4" s="9" t="n">
        <f aca="false">SUMIF('Order Level Calculation'!$K$2:$K$125,0,'Order Level Calculation'!$J$2:$J$125)</f>
        <v>1826.9</v>
      </c>
    </row>
    <row r="5" customFormat="false" ht="15" hidden="false" customHeight="true" outlineLevel="0" collapsed="false">
      <c r="A5" s="8" t="s">
        <v>24</v>
      </c>
      <c r="B5" s="8" t="n">
        <f aca="false">COUNTIF('Order Level Calculation'!$K$2:$K$125,"&gt;0")</f>
        <v>79</v>
      </c>
      <c r="C5" s="9" t="n">
        <f aca="false">SUMIF('Order Level Calculation'!$K$2:$K$125,"&gt;0",'Order Level Calculation'!$K$2:$K$125)</f>
        <v>4426.6</v>
      </c>
    </row>
    <row r="6" customFormat="false" ht="15" hidden="false" customHeight="true" outlineLevel="0" collapsed="false">
      <c r="A6" s="8" t="s">
        <v>25</v>
      </c>
      <c r="B6" s="8" t="n">
        <f aca="false">COUNTIF('Order Level Calculation'!$K$2:$K$125,"&lt;0")</f>
        <v>23</v>
      </c>
      <c r="C6" s="9" t="n">
        <f aca="false">ABS(SUMIF('Order Level Calculation'!$K$2:$K$125,"&lt;0",'Order Level Calculation'!$K$2:$K$125))</f>
        <v>575.1</v>
      </c>
    </row>
    <row r="8" customFormat="false" ht="15" hidden="false" customHeight="true" outlineLevel="0" collapsed="false">
      <c r="A8" s="10" t="s">
        <v>26</v>
      </c>
      <c r="B8" s="10"/>
      <c r="C8" s="10"/>
    </row>
  </sheetData>
  <mergeCells count="2">
    <mergeCell ref="A1:C1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20"/>
  </cols>
  <sheetData>
    <row r="1" customFormat="false" ht="39" hidden="false" customHeight="true" outlineLevel="0" collapsed="false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37</v>
      </c>
    </row>
    <row r="2" customFormat="false" ht="15" hidden="false" customHeight="true" outlineLevel="0" collapsed="false">
      <c r="A2" s="8" t="str">
        <f aca="false">'Courier Invoice'!B2</f>
        <v>2001806232</v>
      </c>
      <c r="B2" s="8" t="str">
        <f aca="false">'Courier Invoice'!A2</f>
        <v>1091117222124</v>
      </c>
      <c r="C2" s="9" t="n">
        <f aca="false">SUMIF('Order Report'!$A:$A,$A2,'Order Report'!$D:$D)/1000</f>
        <v>1.302</v>
      </c>
      <c r="D2" s="9" t="n">
        <f aca="false">CEILING(C2,0.5)</f>
        <v>1.5</v>
      </c>
      <c r="E2" s="9" t="n">
        <f aca="false">VALUE('Courier Invoice'!C2)</f>
        <v>1.3</v>
      </c>
      <c r="F2" s="9" t="n">
        <f aca="false">CEILING(E2,0.5)</f>
        <v>1.5</v>
      </c>
      <c r="G2" s="8" t="str">
        <f aca="false">INDEX('Pincode Zones'!$C:$C,MATCH('Courier Invoice'!D2&amp;"-"&amp;'Courier Invoice'!E2,'Pincode Zones'!$D:$D,0))</f>
        <v>d</v>
      </c>
      <c r="H2" s="8" t="str">
        <f aca="false">'Courier Invoice'!F2</f>
        <v>d</v>
      </c>
      <c r="I2" s="9" t="n">
        <f aca="false">(INDEX('Courier Rates'!$1:$2,2,MATCH("fwd_"&amp;$G2&amp;"_fixed",'Courier Rates'!$1:$1,0))+INDEX('Courier Rates'!$1:$2,2,MATCH("fwd_"&amp;$G2&amp;"_additional",'Courier Rates'!$1:$1,0))*MAX(0,(D2-0.5)/0.5))+IF(ISNUMBER(SEARCH("rto",'Courier Invoice'!G2)),(INDEX('Courier Rates'!$1:$2,2,MATCH("rto_"&amp;$G2&amp;"_fixed",'Courier Rates'!$1:$1,0))+INDEX('Courier Rates'!$1:$2,2,MATCH("rto_"&amp;$G2&amp;"_additional",'Courier Rates'!$1:$1,0))*MAX(0,(D2-0.5)/0.5)),0)</f>
        <v>135</v>
      </c>
      <c r="J2" s="9" t="n">
        <f aca="false">VALUE('Courier Invoice'!H2)</f>
        <v>135</v>
      </c>
      <c r="K2" s="9" t="n">
        <f aca="false">ROUND(J2-I2,2)</f>
        <v>0</v>
      </c>
    </row>
    <row r="3" customFormat="false" ht="15" hidden="false" customHeight="true" outlineLevel="0" collapsed="false">
      <c r="A3" s="8" t="str">
        <f aca="false">'Courier Invoice'!B3</f>
        <v>2001806273</v>
      </c>
      <c r="B3" s="8" t="str">
        <f aca="false">'Courier Invoice'!A3</f>
        <v>1091117222194</v>
      </c>
      <c r="C3" s="9" t="n">
        <f aca="false">SUMIF('Order Report'!$A:$A,$A3,'Order Report'!$D:$D)/1000</f>
        <v>0.615</v>
      </c>
      <c r="D3" s="9" t="n">
        <f aca="false">CEILING(C3,0.5)</f>
        <v>1</v>
      </c>
      <c r="E3" s="9" t="n">
        <f aca="false">VALUE('Courier Invoice'!C3)</f>
        <v>1</v>
      </c>
      <c r="F3" s="9" t="n">
        <f aca="false">CEILING(E3,0.5)</f>
        <v>1</v>
      </c>
      <c r="G3" s="8" t="str">
        <f aca="false">INDEX('Pincode Zones'!$C:$C,MATCH('Courier Invoice'!D3&amp;"-"&amp;'Courier Invoice'!E3,'Pincode Zones'!$D:$D,0))</f>
        <v>d</v>
      </c>
      <c r="H3" s="8" t="str">
        <f aca="false">'Courier Invoice'!F3</f>
        <v>d</v>
      </c>
      <c r="I3" s="9" t="n">
        <f aca="false">(INDEX('Courier Rates'!$1:$2,2,MATCH("fwd_"&amp;$G3&amp;"_fixed",'Courier Rates'!$1:$1,0))+INDEX('Courier Rates'!$1:$2,2,MATCH("fwd_"&amp;$G3&amp;"_additional",'Courier Rates'!$1:$1,0))*MAX(0,(D3-0.5)/0.5))+IF(ISNUMBER(SEARCH("rto",'Courier Invoice'!G3)),(INDEX('Courier Rates'!$1:$2,2,MATCH("rto_"&amp;$G3&amp;"_fixed",'Courier Rates'!$1:$1,0))+INDEX('Courier Rates'!$1:$2,2,MATCH("rto_"&amp;$G3&amp;"_additional",'Courier Rates'!$1:$1,0))*MAX(0,(D3-0.5)/0.5)),0)</f>
        <v>90.2</v>
      </c>
      <c r="J3" s="9" t="n">
        <f aca="false">VALUE('Courier Invoice'!H3)</f>
        <v>90.2</v>
      </c>
      <c r="K3" s="9" t="n">
        <f aca="false">ROUND(J3-I3,2)</f>
        <v>0</v>
      </c>
    </row>
    <row r="4" customFormat="false" ht="15" hidden="false" customHeight="true" outlineLevel="0" collapsed="false">
      <c r="A4" s="8" t="str">
        <f aca="false">'Courier Invoice'!B4</f>
        <v>2001806408</v>
      </c>
      <c r="B4" s="8" t="str">
        <f aca="false">'Courier Invoice'!A4</f>
        <v>1091117222931</v>
      </c>
      <c r="C4" s="9" t="n">
        <f aca="false">SUMIF('Order Report'!$A:$A,$A4,'Order Report'!$D:$D)/1000</f>
        <v>2.265</v>
      </c>
      <c r="D4" s="9" t="n">
        <f aca="false">CEILING(C4,0.5)</f>
        <v>2.5</v>
      </c>
      <c r="E4" s="9" t="n">
        <f aca="false">VALUE('Courier Invoice'!C4)</f>
        <v>2.5</v>
      </c>
      <c r="F4" s="9" t="n">
        <f aca="false">CEILING(E4,0.5)</f>
        <v>2.5</v>
      </c>
      <c r="G4" s="8" t="str">
        <f aca="false">INDEX('Pincode Zones'!$C:$C,MATCH('Courier Invoice'!D4&amp;"-"&amp;'Courier Invoice'!E4,'Pincode Zones'!$D:$D,0))</f>
        <v>d</v>
      </c>
      <c r="H4" s="8" t="str">
        <f aca="false">'Courier Invoice'!F4</f>
        <v>d</v>
      </c>
      <c r="I4" s="9" t="n">
        <f aca="false">(INDEX('Courier Rates'!$1:$2,2,MATCH("fwd_"&amp;$G4&amp;"_fixed",'Courier Rates'!$1:$1,0))+INDEX('Courier Rates'!$1:$2,2,MATCH("fwd_"&amp;$G4&amp;"_additional",'Courier Rates'!$1:$1,0))*MAX(0,(D4-0.5)/0.5))+IF(ISNUMBER(SEARCH("rto",'Courier Invoice'!G4)),(INDEX('Courier Rates'!$1:$2,2,MATCH("rto_"&amp;$G4&amp;"_fixed",'Courier Rates'!$1:$1,0))+INDEX('Courier Rates'!$1:$2,2,MATCH("rto_"&amp;$G4&amp;"_additional",'Courier Rates'!$1:$1,0))*MAX(0,(D4-0.5)/0.5)),0)</f>
        <v>224.6</v>
      </c>
      <c r="J4" s="9" t="n">
        <f aca="false">VALUE('Courier Invoice'!H4)</f>
        <v>224.6</v>
      </c>
      <c r="K4" s="9" t="n">
        <f aca="false">ROUND(J4-I4,2)</f>
        <v>0</v>
      </c>
    </row>
    <row r="5" customFormat="false" ht="15" hidden="false" customHeight="true" outlineLevel="0" collapsed="false">
      <c r="A5" s="8" t="str">
        <f aca="false">'Courier Invoice'!B5</f>
        <v>2001806458</v>
      </c>
      <c r="B5" s="8" t="str">
        <f aca="false">'Courier Invoice'!A5</f>
        <v>1091117223244</v>
      </c>
      <c r="C5" s="9" t="n">
        <f aca="false">SUMIF('Order Report'!$A:$A,$A5,'Order Report'!$D:$D)/1000</f>
        <v>0.7</v>
      </c>
      <c r="D5" s="9" t="n">
        <f aca="false">CEILING(C5,0.5)</f>
        <v>1</v>
      </c>
      <c r="E5" s="9" t="n">
        <f aca="false">VALUE('Courier Invoice'!C5)</f>
        <v>1</v>
      </c>
      <c r="F5" s="9" t="n">
        <f aca="false">CEILING(E5,0.5)</f>
        <v>1</v>
      </c>
      <c r="G5" s="8" t="str">
        <f aca="false">INDEX('Pincode Zones'!$C:$C,MATCH('Courier Invoice'!D5&amp;"-"&amp;'Courier Invoice'!E5,'Pincode Zones'!$D:$D,0))</f>
        <v>b</v>
      </c>
      <c r="H5" s="8" t="str">
        <f aca="false">'Courier Invoice'!F5</f>
        <v>b</v>
      </c>
      <c r="I5" s="9" t="n">
        <f aca="false">(INDEX('Courier Rates'!$1:$2,2,MATCH("fwd_"&amp;$G5&amp;"_fixed",'Courier Rates'!$1:$1,0))+INDEX('Courier Rates'!$1:$2,2,MATCH("fwd_"&amp;$G5&amp;"_additional",'Courier Rates'!$1:$1,0))*MAX(0,(D5-0.5)/0.5))+IF(ISNUMBER(SEARCH("rto",'Courier Invoice'!G5)),(INDEX('Courier Rates'!$1:$2,2,MATCH("rto_"&amp;$G5&amp;"_fixed",'Courier Rates'!$1:$1,0))+INDEX('Courier Rates'!$1:$2,2,MATCH("rto_"&amp;$G5&amp;"_additional",'Courier Rates'!$1:$1,0))*MAX(0,(D5-0.5)/0.5)),0)</f>
        <v>61.3</v>
      </c>
      <c r="J5" s="9" t="n">
        <f aca="false">VALUE('Courier Invoice'!H5)</f>
        <v>61.3</v>
      </c>
      <c r="K5" s="9" t="n">
        <f aca="false">ROUND(J5-I5,2)</f>
        <v>0</v>
      </c>
    </row>
    <row r="6" customFormat="false" ht="15" hidden="false" customHeight="true" outlineLevel="0" collapsed="false">
      <c r="A6" s="8" t="str">
        <f aca="false">'Courier Invoice'!B6</f>
        <v>2001807012</v>
      </c>
      <c r="B6" s="8" t="str">
        <f aca="false">'Courier Invoice'!A6</f>
        <v>1091117229345</v>
      </c>
      <c r="C6" s="9" t="n">
        <f aca="false">SUMIF('Order Report'!$A:$A,$A6,'Order Report'!$D:$D)/1000</f>
        <v>0.24</v>
      </c>
      <c r="D6" s="9" t="n">
        <f aca="false">CEILING(C6,0.5)</f>
        <v>0.5</v>
      </c>
      <c r="E6" s="9" t="n">
        <f aca="false">VALUE('Courier Invoice'!C6)</f>
        <v>0.15</v>
      </c>
      <c r="F6" s="9" t="n">
        <f aca="false">CEILING(E6,0.5)</f>
        <v>0.5</v>
      </c>
      <c r="G6" s="8" t="str">
        <f aca="false">INDEX('Pincode Zones'!$C:$C,MATCH('Courier Invoice'!D6&amp;"-"&amp;'Courier Invoice'!E6,'Pincode Zones'!$D:$D,0))</f>
        <v>d</v>
      </c>
      <c r="H6" s="8" t="str">
        <f aca="false">'Courier Invoice'!F6</f>
        <v>d</v>
      </c>
      <c r="I6" s="9" t="n">
        <f aca="false">(INDEX('Courier Rates'!$1:$2,2,MATCH("fwd_"&amp;$G6&amp;"_fixed",'Courier Rates'!$1:$1,0))+INDEX('Courier Rates'!$1:$2,2,MATCH("fwd_"&amp;$G6&amp;"_additional",'Courier Rates'!$1:$1,0))*MAX(0,(D6-0.5)/0.5))+IF(ISNUMBER(SEARCH("rto",'Courier Invoice'!G6)),(INDEX('Courier Rates'!$1:$2,2,MATCH("rto_"&amp;$G6&amp;"_fixed",'Courier Rates'!$1:$1,0))+INDEX('Courier Rates'!$1:$2,2,MATCH("rto_"&amp;$G6&amp;"_additional",'Courier Rates'!$1:$1,0))*MAX(0,(D6-0.5)/0.5)),0)</f>
        <v>45.4</v>
      </c>
      <c r="J6" s="9" t="n">
        <f aca="false">VALUE('Courier Invoice'!H6)</f>
        <v>45.4</v>
      </c>
      <c r="K6" s="9" t="n">
        <f aca="false">ROUND(J6-I6,2)</f>
        <v>0</v>
      </c>
    </row>
    <row r="7" customFormat="false" ht="15" hidden="false" customHeight="true" outlineLevel="0" collapsed="false">
      <c r="A7" s="8" t="str">
        <f aca="false">'Courier Invoice'!B7</f>
        <v>2001806686</v>
      </c>
      <c r="B7" s="8" t="str">
        <f aca="false">'Courier Invoice'!A7</f>
        <v>1091117229555</v>
      </c>
      <c r="C7" s="9" t="n">
        <f aca="false">SUMIF('Order Report'!$A:$A,$A7,'Order Report'!$D:$D)/1000</f>
        <v>0.24</v>
      </c>
      <c r="D7" s="9" t="n">
        <f aca="false">CEILING(C7,0.5)</f>
        <v>0.5</v>
      </c>
      <c r="E7" s="9" t="n">
        <f aca="false">VALUE('Courier Invoice'!C7)</f>
        <v>0.15</v>
      </c>
      <c r="F7" s="9" t="n">
        <f aca="false">CEILING(E7,0.5)</f>
        <v>0.5</v>
      </c>
      <c r="G7" s="8" t="str">
        <f aca="false">INDEX('Pincode Zones'!$C:$C,MATCH('Courier Invoice'!D7&amp;"-"&amp;'Courier Invoice'!E7,'Pincode Zones'!$D:$D,0))</f>
        <v>d</v>
      </c>
      <c r="H7" s="8" t="str">
        <f aca="false">'Courier Invoice'!F7</f>
        <v>d</v>
      </c>
      <c r="I7" s="9" t="n">
        <f aca="false">(INDEX('Courier Rates'!$1:$2,2,MATCH("fwd_"&amp;$G7&amp;"_fixed",'Courier Rates'!$1:$1,0))+INDEX('Courier Rates'!$1:$2,2,MATCH("fwd_"&amp;$G7&amp;"_additional",'Courier Rates'!$1:$1,0))*MAX(0,(D7-0.5)/0.5))+IF(ISNUMBER(SEARCH("rto",'Courier Invoice'!G7)),(INDEX('Courier Rates'!$1:$2,2,MATCH("rto_"&amp;$G7&amp;"_fixed",'Courier Rates'!$1:$1,0))+INDEX('Courier Rates'!$1:$2,2,MATCH("rto_"&amp;$G7&amp;"_additional",'Courier Rates'!$1:$1,0))*MAX(0,(D7-0.5)/0.5)),0)</f>
        <v>45.4</v>
      </c>
      <c r="J7" s="9" t="n">
        <f aca="false">VALUE('Courier Invoice'!H7)</f>
        <v>45.4</v>
      </c>
      <c r="K7" s="9" t="n">
        <f aca="false">ROUND(J7-I7,2)</f>
        <v>0</v>
      </c>
    </row>
    <row r="8" customFormat="false" ht="15" hidden="false" customHeight="true" outlineLevel="0" collapsed="false">
      <c r="A8" s="8" t="str">
        <f aca="false">'Courier Invoice'!B8</f>
        <v>2001806885</v>
      </c>
      <c r="B8" s="8" t="str">
        <f aca="false">'Courier Invoice'!A8</f>
        <v>1091117229776</v>
      </c>
      <c r="C8" s="9" t="n">
        <f aca="false">SUMIF('Order Report'!$A:$A,$A8,'Order Report'!$D:$D)/1000</f>
        <v>0.84</v>
      </c>
      <c r="D8" s="9" t="n">
        <f aca="false">CEILING(C8,0.5)</f>
        <v>1</v>
      </c>
      <c r="E8" s="9" t="n">
        <f aca="false">VALUE('Courier Invoice'!C8)</f>
        <v>1</v>
      </c>
      <c r="F8" s="9" t="n">
        <f aca="false">CEILING(E8,0.5)</f>
        <v>1</v>
      </c>
      <c r="G8" s="8" t="str">
        <f aca="false">INDEX('Pincode Zones'!$C:$C,MATCH('Courier Invoice'!D8&amp;"-"&amp;'Courier Invoice'!E8,'Pincode Zones'!$D:$D,0))</f>
        <v>b</v>
      </c>
      <c r="H8" s="8" t="str">
        <f aca="false">'Courier Invoice'!F8</f>
        <v>b</v>
      </c>
      <c r="I8" s="9" t="n">
        <f aca="false">(INDEX('Courier Rates'!$1:$2,2,MATCH("fwd_"&amp;$G8&amp;"_fixed",'Courier Rates'!$1:$1,0))+INDEX('Courier Rates'!$1:$2,2,MATCH("fwd_"&amp;$G8&amp;"_additional",'Courier Rates'!$1:$1,0))*MAX(0,(D8-0.5)/0.5))+IF(ISNUMBER(SEARCH("rto",'Courier Invoice'!G8)),(INDEX('Courier Rates'!$1:$2,2,MATCH("rto_"&amp;$G8&amp;"_fixed",'Courier Rates'!$1:$1,0))+INDEX('Courier Rates'!$1:$2,2,MATCH("rto_"&amp;$G8&amp;"_additional",'Courier Rates'!$1:$1,0))*MAX(0,(D8-0.5)/0.5)),0)</f>
        <v>61.3</v>
      </c>
      <c r="J8" s="9" t="n">
        <f aca="false">VALUE('Courier Invoice'!H8)</f>
        <v>61.3</v>
      </c>
      <c r="K8" s="9" t="n">
        <f aca="false">ROUND(J8-I8,2)</f>
        <v>0</v>
      </c>
    </row>
    <row r="9" customFormat="false" ht="15" hidden="false" customHeight="true" outlineLevel="0" collapsed="false">
      <c r="A9" s="8" t="str">
        <f aca="false">'Courier Invoice'!B9</f>
        <v>2001807058</v>
      </c>
      <c r="B9" s="8" t="str">
        <f aca="false">'Courier Invoice'!A9</f>
        <v>1091117323112</v>
      </c>
      <c r="C9" s="9" t="n">
        <f aca="false">SUMIF('Order Report'!$A:$A,$A9,'Order Report'!$D:$D)/1000</f>
        <v>1.168</v>
      </c>
      <c r="D9" s="9" t="n">
        <f aca="false">CEILING(C9,0.5)</f>
        <v>1.5</v>
      </c>
      <c r="E9" s="9" t="n">
        <f aca="false">VALUE('Courier Invoice'!C9)</f>
        <v>1.15</v>
      </c>
      <c r="F9" s="9" t="n">
        <f aca="false">CEILING(E9,0.5)</f>
        <v>1.5</v>
      </c>
      <c r="G9" s="8" t="str">
        <f aca="false">INDEX('Pincode Zones'!$C:$C,MATCH('Courier Invoice'!D9&amp;"-"&amp;'Courier Invoice'!E9,'Pincode Zones'!$D:$D,0))</f>
        <v>b</v>
      </c>
      <c r="H9" s="8" t="str">
        <f aca="false">'Courier Invoice'!F9</f>
        <v>b</v>
      </c>
      <c r="I9" s="9" t="n">
        <f aca="false">(INDEX('Courier Rates'!$1:$2,2,MATCH("fwd_"&amp;$G9&amp;"_fixed",'Courier Rates'!$1:$1,0))+INDEX('Courier Rates'!$1:$2,2,MATCH("fwd_"&amp;$G9&amp;"_additional",'Courier Rates'!$1:$1,0))*MAX(0,(D9-0.5)/0.5))+IF(ISNUMBER(SEARCH("rto",'Courier Invoice'!G9)),(INDEX('Courier Rates'!$1:$2,2,MATCH("rto_"&amp;$G9&amp;"_fixed",'Courier Rates'!$1:$1,0))+INDEX('Courier Rates'!$1:$2,2,MATCH("rto_"&amp;$G9&amp;"_additional",'Courier Rates'!$1:$1,0))*MAX(0,(D9-0.5)/0.5)),0)</f>
        <v>89.6</v>
      </c>
      <c r="J9" s="9" t="n">
        <f aca="false">VALUE('Courier Invoice'!H9)</f>
        <v>89.6</v>
      </c>
      <c r="K9" s="9" t="n">
        <f aca="false">ROUND(J9-I9,2)</f>
        <v>0</v>
      </c>
    </row>
    <row r="10" customFormat="false" ht="15" hidden="false" customHeight="true" outlineLevel="0" collapsed="false">
      <c r="A10" s="8" t="str">
        <f aca="false">'Courier Invoice'!B10</f>
        <v>2001807186</v>
      </c>
      <c r="B10" s="8" t="str">
        <f aca="false">'Courier Invoice'!A10</f>
        <v>1091117323812</v>
      </c>
      <c r="C10" s="9" t="n">
        <f aca="false">SUMIF('Order Report'!$A:$A,$A10,'Order Report'!$D:$D)/1000</f>
        <v>0.5</v>
      </c>
      <c r="D10" s="9" t="n">
        <f aca="false">CEILING(C10,0.5)</f>
        <v>0.5</v>
      </c>
      <c r="E10" s="9" t="n">
        <f aca="false">VALUE('Courier Invoice'!C10)</f>
        <v>0.5</v>
      </c>
      <c r="F10" s="9" t="n">
        <f aca="false">CEILING(E10,0.5)</f>
        <v>0.5</v>
      </c>
      <c r="G10" s="8" t="str">
        <f aca="false">INDEX('Pincode Zones'!$C:$C,MATCH('Courier Invoice'!D10&amp;"-"&amp;'Courier Invoice'!E10,'Pincode Zones'!$D:$D,0))</f>
        <v>d</v>
      </c>
      <c r="H10" s="8" t="str">
        <f aca="false">'Courier Invoice'!F10</f>
        <v>d</v>
      </c>
      <c r="I10" s="9" t="n">
        <f aca="false">(INDEX('Courier Rates'!$1:$2,2,MATCH("fwd_"&amp;$G10&amp;"_fixed",'Courier Rates'!$1:$1,0))+INDEX('Courier Rates'!$1:$2,2,MATCH("fwd_"&amp;$G10&amp;"_additional",'Courier Rates'!$1:$1,0))*MAX(0,(D10-0.5)/0.5))+IF(ISNUMBER(SEARCH("rto",'Courier Invoice'!G10)),(INDEX('Courier Rates'!$1:$2,2,MATCH("rto_"&amp;$G10&amp;"_fixed",'Courier Rates'!$1:$1,0))+INDEX('Courier Rates'!$1:$2,2,MATCH("rto_"&amp;$G10&amp;"_additional",'Courier Rates'!$1:$1,0))*MAX(0,(D10-0.5)/0.5)),0)</f>
        <v>45.4</v>
      </c>
      <c r="J10" s="9" t="n">
        <f aca="false">VALUE('Courier Invoice'!H10)</f>
        <v>45.4</v>
      </c>
      <c r="K10" s="9" t="n">
        <f aca="false">ROUND(J10-I10,2)</f>
        <v>0</v>
      </c>
    </row>
    <row r="11" customFormat="false" ht="15" hidden="false" customHeight="true" outlineLevel="0" collapsed="false">
      <c r="A11" s="8" t="str">
        <f aca="false">'Courier Invoice'!B11</f>
        <v>2001807290</v>
      </c>
      <c r="B11" s="8" t="str">
        <f aca="false">'Courier Invoice'!A11</f>
        <v>1091117324206</v>
      </c>
      <c r="C11" s="9" t="n">
        <f aca="false">SUMIF('Order Report'!$A:$A,$A11,'Order Report'!$D:$D)/1000</f>
        <v>0.5</v>
      </c>
      <c r="D11" s="9" t="n">
        <f aca="false">CEILING(C11,0.5)</f>
        <v>0.5</v>
      </c>
      <c r="E11" s="9" t="n">
        <f aca="false">VALUE('Courier Invoice'!C11)</f>
        <v>0.5</v>
      </c>
      <c r="F11" s="9" t="n">
        <f aca="false">CEILING(E11,0.5)</f>
        <v>0.5</v>
      </c>
      <c r="G11" s="8" t="str">
        <f aca="false">INDEX('Pincode Zones'!$C:$C,MATCH('Courier Invoice'!D11&amp;"-"&amp;'Courier Invoice'!E11,'Pincode Zones'!$D:$D,0))</f>
        <v>d</v>
      </c>
      <c r="H11" s="8" t="str">
        <f aca="false">'Courier Invoice'!F11</f>
        <v>d</v>
      </c>
      <c r="I11" s="9" t="n">
        <f aca="false">(INDEX('Courier Rates'!$1:$2,2,MATCH("fwd_"&amp;$G11&amp;"_fixed",'Courier Rates'!$1:$1,0))+INDEX('Courier Rates'!$1:$2,2,MATCH("fwd_"&amp;$G11&amp;"_additional",'Courier Rates'!$1:$1,0))*MAX(0,(D11-0.5)/0.5))+IF(ISNUMBER(SEARCH("rto",'Courier Invoice'!G11)),(INDEX('Courier Rates'!$1:$2,2,MATCH("rto_"&amp;$G11&amp;"_fixed",'Courier Rates'!$1:$1,0))+INDEX('Courier Rates'!$1:$2,2,MATCH("rto_"&amp;$G11&amp;"_additional",'Courier Rates'!$1:$1,0))*MAX(0,(D11-0.5)/0.5)),0)</f>
        <v>45.4</v>
      </c>
      <c r="J11" s="9" t="n">
        <f aca="false">VALUE('Courier Invoice'!H11)</f>
        <v>45.4</v>
      </c>
      <c r="K11" s="9" t="n">
        <f aca="false">ROUND(J11-I11,2)</f>
        <v>0</v>
      </c>
    </row>
    <row r="12" customFormat="false" ht="15" hidden="false" customHeight="true" outlineLevel="0" collapsed="false">
      <c r="A12" s="8" t="str">
        <f aca="false">'Courier Invoice'!B12</f>
        <v>2001807814</v>
      </c>
      <c r="B12" s="8" t="str">
        <f aca="false">'Courier Invoice'!A12</f>
        <v>1091117326612</v>
      </c>
      <c r="C12" s="9" t="n">
        <f aca="false">SUMIF('Order Report'!$A:$A,$A12,'Order Report'!$D:$D)/1000</f>
        <v>0.607</v>
      </c>
      <c r="D12" s="9" t="n">
        <f aca="false">CEILING(C12,0.5)</f>
        <v>1</v>
      </c>
      <c r="E12" s="9" t="n">
        <f aca="false">VALUE('Courier Invoice'!C12)</f>
        <v>0.79</v>
      </c>
      <c r="F12" s="9" t="n">
        <f aca="false">CEILING(E12,0.5)</f>
        <v>1</v>
      </c>
      <c r="G12" s="8" t="str">
        <f aca="false">INDEX('Pincode Zones'!$C:$C,MATCH('Courier Invoice'!D12&amp;"-"&amp;'Courier Invoice'!E12,'Pincode Zones'!$D:$D,0))</f>
        <v>b</v>
      </c>
      <c r="H12" s="8" t="str">
        <f aca="false">'Courier Invoice'!F12</f>
        <v>b</v>
      </c>
      <c r="I12" s="9" t="n">
        <f aca="false">(INDEX('Courier Rates'!$1:$2,2,MATCH("fwd_"&amp;$G12&amp;"_fixed",'Courier Rates'!$1:$1,0))+INDEX('Courier Rates'!$1:$2,2,MATCH("fwd_"&amp;$G12&amp;"_additional",'Courier Rates'!$1:$1,0))*MAX(0,(D12-0.5)/0.5))+IF(ISNUMBER(SEARCH("rto",'Courier Invoice'!G12)),(INDEX('Courier Rates'!$1:$2,2,MATCH("rto_"&amp;$G12&amp;"_fixed",'Courier Rates'!$1:$1,0))+INDEX('Courier Rates'!$1:$2,2,MATCH("rto_"&amp;$G12&amp;"_additional",'Courier Rates'!$1:$1,0))*MAX(0,(D12-0.5)/0.5)),0)</f>
        <v>61.3</v>
      </c>
      <c r="J12" s="9" t="n">
        <f aca="false">VALUE('Courier Invoice'!H12)</f>
        <v>61.3</v>
      </c>
      <c r="K12" s="9" t="n">
        <f aca="false">ROUND(J12-I12,2)</f>
        <v>0</v>
      </c>
    </row>
    <row r="13" customFormat="false" ht="15" hidden="false" customHeight="true" outlineLevel="0" collapsed="false">
      <c r="A13" s="8" t="str">
        <f aca="false">'Courier Invoice'!B13</f>
        <v>2001807931</v>
      </c>
      <c r="B13" s="8" t="str">
        <f aca="false">'Courier Invoice'!A13</f>
        <v>1091117327172</v>
      </c>
      <c r="C13" s="9" t="n">
        <f aca="false">SUMIF('Order Report'!$A:$A,$A13,'Order Report'!$D:$D)/1000</f>
        <v>0.607</v>
      </c>
      <c r="D13" s="9" t="n">
        <f aca="false">CEILING(C13,0.5)</f>
        <v>1</v>
      </c>
      <c r="E13" s="9" t="n">
        <f aca="false">VALUE('Courier Invoice'!C13)</f>
        <v>0.72</v>
      </c>
      <c r="F13" s="9" t="n">
        <f aca="false">CEILING(E13,0.5)</f>
        <v>1</v>
      </c>
      <c r="G13" s="8" t="str">
        <f aca="false">INDEX('Pincode Zones'!$C:$C,MATCH('Courier Invoice'!D13&amp;"-"&amp;'Courier Invoice'!E13,'Pincode Zones'!$D:$D,0))</f>
        <v>d</v>
      </c>
      <c r="H13" s="8" t="str">
        <f aca="false">'Courier Invoice'!F13</f>
        <v>d</v>
      </c>
      <c r="I13" s="9" t="n">
        <f aca="false">(INDEX('Courier Rates'!$1:$2,2,MATCH("fwd_"&amp;$G13&amp;"_fixed",'Courier Rates'!$1:$1,0))+INDEX('Courier Rates'!$1:$2,2,MATCH("fwd_"&amp;$G13&amp;"_additional",'Courier Rates'!$1:$1,0))*MAX(0,(D13-0.5)/0.5))+IF(ISNUMBER(SEARCH("rto",'Courier Invoice'!G13)),(INDEX('Courier Rates'!$1:$2,2,MATCH("rto_"&amp;$G13&amp;"_fixed",'Courier Rates'!$1:$1,0))+INDEX('Courier Rates'!$1:$2,2,MATCH("rto_"&amp;$G13&amp;"_additional",'Courier Rates'!$1:$1,0))*MAX(0,(D13-0.5)/0.5)),0)</f>
        <v>90.2</v>
      </c>
      <c r="J13" s="9" t="n">
        <f aca="false">VALUE('Courier Invoice'!H13)</f>
        <v>90.2</v>
      </c>
      <c r="K13" s="9" t="n">
        <f aca="false">ROUND(J13-I13,2)</f>
        <v>0</v>
      </c>
    </row>
    <row r="14" customFormat="false" ht="15" hidden="false" customHeight="true" outlineLevel="0" collapsed="false">
      <c r="A14" s="8" t="str">
        <f aca="false">'Courier Invoice'!B14</f>
        <v>2001807956</v>
      </c>
      <c r="B14" s="8" t="str">
        <f aca="false">'Courier Invoice'!A14</f>
        <v>1091117327275</v>
      </c>
      <c r="C14" s="9" t="n">
        <f aca="false">SUMIF('Order Report'!$A:$A,$A14,'Order Report'!$D:$D)/1000</f>
        <v>1.08</v>
      </c>
      <c r="D14" s="9" t="n">
        <f aca="false">CEILING(C14,0.5)</f>
        <v>1.5</v>
      </c>
      <c r="E14" s="9" t="n">
        <f aca="false">VALUE('Courier Invoice'!C14)</f>
        <v>1.08</v>
      </c>
      <c r="F14" s="9" t="n">
        <f aca="false">CEILING(E14,0.5)</f>
        <v>1.5</v>
      </c>
      <c r="G14" s="8" t="str">
        <f aca="false">INDEX('Pincode Zones'!$C:$C,MATCH('Courier Invoice'!D14&amp;"-"&amp;'Courier Invoice'!E14,'Pincode Zones'!$D:$D,0))</f>
        <v>b</v>
      </c>
      <c r="H14" s="8" t="str">
        <f aca="false">'Courier Invoice'!F14</f>
        <v>b</v>
      </c>
      <c r="I14" s="9" t="n">
        <f aca="false">(INDEX('Courier Rates'!$1:$2,2,MATCH("fwd_"&amp;$G14&amp;"_fixed",'Courier Rates'!$1:$1,0))+INDEX('Courier Rates'!$1:$2,2,MATCH("fwd_"&amp;$G14&amp;"_additional",'Courier Rates'!$1:$1,0))*MAX(0,(D14-0.5)/0.5))+IF(ISNUMBER(SEARCH("rto",'Courier Invoice'!G14)),(INDEX('Courier Rates'!$1:$2,2,MATCH("rto_"&amp;$G14&amp;"_fixed",'Courier Rates'!$1:$1,0))+INDEX('Courier Rates'!$1:$2,2,MATCH("rto_"&amp;$G14&amp;"_additional",'Courier Rates'!$1:$1,0))*MAX(0,(D14-0.5)/0.5)),0)</f>
        <v>89.6</v>
      </c>
      <c r="J14" s="9" t="n">
        <f aca="false">VALUE('Courier Invoice'!H14)</f>
        <v>89.6</v>
      </c>
      <c r="K14" s="9" t="n">
        <f aca="false">ROUND(J14-I14,2)</f>
        <v>0</v>
      </c>
    </row>
    <row r="15" customFormat="false" ht="15" hidden="false" customHeight="true" outlineLevel="0" collapsed="false">
      <c r="A15" s="8" t="str">
        <f aca="false">'Courier Invoice'!B15</f>
        <v>2001807960</v>
      </c>
      <c r="B15" s="8" t="str">
        <f aca="false">'Courier Invoice'!A15</f>
        <v>1091117327312</v>
      </c>
      <c r="C15" s="9" t="n">
        <f aca="false">SUMIF('Order Report'!$A:$A,$A15,'Order Report'!$D:$D)/1000</f>
        <v>0.93</v>
      </c>
      <c r="D15" s="9" t="n">
        <f aca="false">CEILING(C15,0.5)</f>
        <v>1</v>
      </c>
      <c r="E15" s="9" t="n">
        <f aca="false">VALUE('Courier Invoice'!C15)</f>
        <v>1</v>
      </c>
      <c r="F15" s="9" t="n">
        <f aca="false">CEILING(E15,0.5)</f>
        <v>1</v>
      </c>
      <c r="G15" s="8" t="str">
        <f aca="false">INDEX('Pincode Zones'!$C:$C,MATCH('Courier Invoice'!D15&amp;"-"&amp;'Courier Invoice'!E15,'Pincode Zones'!$D:$D,0))</f>
        <v>d</v>
      </c>
      <c r="H15" s="8" t="str">
        <f aca="false">'Courier Invoice'!F15</f>
        <v>d</v>
      </c>
      <c r="I15" s="9" t="n">
        <f aca="false">(INDEX('Courier Rates'!$1:$2,2,MATCH("fwd_"&amp;$G15&amp;"_fixed",'Courier Rates'!$1:$1,0))+INDEX('Courier Rates'!$1:$2,2,MATCH("fwd_"&amp;$G15&amp;"_additional",'Courier Rates'!$1:$1,0))*MAX(0,(D15-0.5)/0.5))+IF(ISNUMBER(SEARCH("rto",'Courier Invoice'!G15)),(INDEX('Courier Rates'!$1:$2,2,MATCH("rto_"&amp;$G15&amp;"_fixed",'Courier Rates'!$1:$1,0))+INDEX('Courier Rates'!$1:$2,2,MATCH("rto_"&amp;$G15&amp;"_additional",'Courier Rates'!$1:$1,0))*MAX(0,(D15-0.5)/0.5)),0)</f>
        <v>90.2</v>
      </c>
      <c r="J15" s="9" t="n">
        <f aca="false">VALUE('Courier Invoice'!H15)</f>
        <v>90.2</v>
      </c>
      <c r="K15" s="9" t="n">
        <f aca="false">ROUND(J15-I15,2)</f>
        <v>0</v>
      </c>
    </row>
    <row r="16" customFormat="false" ht="15" hidden="false" customHeight="true" outlineLevel="0" collapsed="false">
      <c r="A16" s="8" t="str">
        <f aca="false">'Courier Invoice'!B16</f>
        <v>2001807930</v>
      </c>
      <c r="B16" s="8" t="str">
        <f aca="false">'Courier Invoice'!A16</f>
        <v>1091117327695</v>
      </c>
      <c r="C16" s="9" t="n">
        <f aca="false">SUMIF('Order Report'!$A:$A,$A16,'Order Report'!$D:$D)/1000</f>
        <v>0.24</v>
      </c>
      <c r="D16" s="9" t="n">
        <f aca="false">CEILING(C16,0.5)</f>
        <v>0.5</v>
      </c>
      <c r="E16" s="9" t="n">
        <f aca="false">VALUE('Courier Invoice'!C16)</f>
        <v>0.15</v>
      </c>
      <c r="F16" s="9" t="n">
        <f aca="false">CEILING(E16,0.5)</f>
        <v>0.5</v>
      </c>
      <c r="G16" s="8" t="str">
        <f aca="false">INDEX('Pincode Zones'!$C:$C,MATCH('Courier Invoice'!D16&amp;"-"&amp;'Courier Invoice'!E16,'Pincode Zones'!$D:$D,0))</f>
        <v>d</v>
      </c>
      <c r="H16" s="8" t="str">
        <f aca="false">'Courier Invoice'!F16</f>
        <v>d</v>
      </c>
      <c r="I16" s="9" t="n">
        <f aca="false">(INDEX('Courier Rates'!$1:$2,2,MATCH("fwd_"&amp;$G16&amp;"_fixed",'Courier Rates'!$1:$1,0))+INDEX('Courier Rates'!$1:$2,2,MATCH("fwd_"&amp;$G16&amp;"_additional",'Courier Rates'!$1:$1,0))*MAX(0,(D16-0.5)/0.5))+IF(ISNUMBER(SEARCH("rto",'Courier Invoice'!G16)),(INDEX('Courier Rates'!$1:$2,2,MATCH("rto_"&amp;$G16&amp;"_fixed",'Courier Rates'!$1:$1,0))+INDEX('Courier Rates'!$1:$2,2,MATCH("rto_"&amp;$G16&amp;"_additional",'Courier Rates'!$1:$1,0))*MAX(0,(D16-0.5)/0.5)),0)</f>
        <v>45.4</v>
      </c>
      <c r="J16" s="9" t="n">
        <f aca="false">VALUE('Courier Invoice'!H16)</f>
        <v>45.4</v>
      </c>
      <c r="K16" s="9" t="n">
        <f aca="false">ROUND(J16-I16,2)</f>
        <v>0</v>
      </c>
    </row>
    <row r="17" customFormat="false" ht="15" hidden="false" customHeight="true" outlineLevel="0" collapsed="false">
      <c r="A17" s="8" t="str">
        <f aca="false">'Courier Invoice'!B17</f>
        <v>2001808102</v>
      </c>
      <c r="B17" s="8" t="str">
        <f aca="false">'Courier Invoice'!A17</f>
        <v>1091117435005</v>
      </c>
      <c r="C17" s="9" t="n">
        <f aca="false">SUMIF('Order Report'!$A:$A,$A17,'Order Report'!$D:$D)/1000</f>
        <v>1.157</v>
      </c>
      <c r="D17" s="9" t="n">
        <f aca="false">CEILING(C17,0.5)</f>
        <v>1.5</v>
      </c>
      <c r="E17" s="9" t="n">
        <f aca="false">VALUE('Courier Invoice'!C17)</f>
        <v>1.28</v>
      </c>
      <c r="F17" s="9" t="n">
        <f aca="false">CEILING(E17,0.5)</f>
        <v>1.5</v>
      </c>
      <c r="G17" s="8" t="str">
        <f aca="false">INDEX('Pincode Zones'!$C:$C,MATCH('Courier Invoice'!D17&amp;"-"&amp;'Courier Invoice'!E17,'Pincode Zones'!$D:$D,0))</f>
        <v>d</v>
      </c>
      <c r="H17" s="8" t="str">
        <f aca="false">'Courier Invoice'!F17</f>
        <v>d</v>
      </c>
      <c r="I17" s="9" t="n">
        <f aca="false">(INDEX('Courier Rates'!$1:$2,2,MATCH("fwd_"&amp;$G17&amp;"_fixed",'Courier Rates'!$1:$1,0))+INDEX('Courier Rates'!$1:$2,2,MATCH("fwd_"&amp;$G17&amp;"_additional",'Courier Rates'!$1:$1,0))*MAX(0,(D17-0.5)/0.5))+IF(ISNUMBER(SEARCH("rto",'Courier Invoice'!G17)),(INDEX('Courier Rates'!$1:$2,2,MATCH("rto_"&amp;$G17&amp;"_fixed",'Courier Rates'!$1:$1,0))+INDEX('Courier Rates'!$1:$2,2,MATCH("rto_"&amp;$G17&amp;"_additional",'Courier Rates'!$1:$1,0))*MAX(0,(D17-0.5)/0.5)),0)</f>
        <v>135</v>
      </c>
      <c r="J17" s="9" t="n">
        <f aca="false">VALUE('Courier Invoice'!H17)</f>
        <v>135</v>
      </c>
      <c r="K17" s="9" t="n">
        <f aca="false">ROUND(J17-I17,2)</f>
        <v>0</v>
      </c>
    </row>
    <row r="18" customFormat="false" ht="15" hidden="false" customHeight="true" outlineLevel="0" collapsed="false">
      <c r="A18" s="8" t="str">
        <f aca="false">'Courier Invoice'!B18</f>
        <v>2001808118</v>
      </c>
      <c r="B18" s="8" t="str">
        <f aca="false">'Courier Invoice'!A18</f>
        <v>1091117435134</v>
      </c>
      <c r="C18" s="9" t="n">
        <f aca="false">SUMIF('Order Report'!$A:$A,$A18,'Order Report'!$D:$D)/1000</f>
        <v>0.343</v>
      </c>
      <c r="D18" s="9" t="n">
        <f aca="false">CEILING(C18,0.5)</f>
        <v>0.5</v>
      </c>
      <c r="E18" s="9" t="n">
        <f aca="false">VALUE('Courier Invoice'!C18)</f>
        <v>0.5</v>
      </c>
      <c r="F18" s="9" t="n">
        <f aca="false">CEILING(E18,0.5)</f>
        <v>0.5</v>
      </c>
      <c r="G18" s="8" t="str">
        <f aca="false">INDEX('Pincode Zones'!$C:$C,MATCH('Courier Invoice'!D18&amp;"-"&amp;'Courier Invoice'!E18,'Pincode Zones'!$D:$D,0))</f>
        <v>b</v>
      </c>
      <c r="H18" s="8" t="str">
        <f aca="false">'Courier Invoice'!F18</f>
        <v>b</v>
      </c>
      <c r="I18" s="9" t="n">
        <f aca="false">(INDEX('Courier Rates'!$1:$2,2,MATCH("fwd_"&amp;$G18&amp;"_fixed",'Courier Rates'!$1:$1,0))+INDEX('Courier Rates'!$1:$2,2,MATCH("fwd_"&amp;$G18&amp;"_additional",'Courier Rates'!$1:$1,0))*MAX(0,(D18-0.5)/0.5))+IF(ISNUMBER(SEARCH("rto",'Courier Invoice'!G18)),(INDEX('Courier Rates'!$1:$2,2,MATCH("rto_"&amp;$G18&amp;"_fixed",'Courier Rates'!$1:$1,0))+INDEX('Courier Rates'!$1:$2,2,MATCH("rto_"&amp;$G18&amp;"_additional",'Courier Rates'!$1:$1,0))*MAX(0,(D18-0.5)/0.5)),0)</f>
        <v>33</v>
      </c>
      <c r="J18" s="9" t="n">
        <f aca="false">VALUE('Courier Invoice'!H18)</f>
        <v>33</v>
      </c>
      <c r="K18" s="9" t="n">
        <f aca="false">ROUND(J18-I18,2)</f>
        <v>0</v>
      </c>
    </row>
    <row r="19" customFormat="false" ht="15" hidden="false" customHeight="true" outlineLevel="0" collapsed="false">
      <c r="A19" s="8" t="str">
        <f aca="false">'Courier Invoice'!B19</f>
        <v>2001808207</v>
      </c>
      <c r="B19" s="8" t="str">
        <f aca="false">'Courier Invoice'!A19</f>
        <v>1091117435370</v>
      </c>
      <c r="C19" s="9" t="n">
        <f aca="false">SUMIF('Order Report'!$A:$A,$A19,'Order Report'!$D:$D)/1000</f>
        <v>0.607</v>
      </c>
      <c r="D19" s="9" t="n">
        <f aca="false">CEILING(C19,0.5)</f>
        <v>1</v>
      </c>
      <c r="E19" s="9" t="n">
        <f aca="false">VALUE('Courier Invoice'!C19)</f>
        <v>0.79</v>
      </c>
      <c r="F19" s="9" t="n">
        <f aca="false">CEILING(E19,0.5)</f>
        <v>1</v>
      </c>
      <c r="G19" s="8" t="str">
        <f aca="false">INDEX('Pincode Zones'!$C:$C,MATCH('Courier Invoice'!D19&amp;"-"&amp;'Courier Invoice'!E19,'Pincode Zones'!$D:$D,0))</f>
        <v>d</v>
      </c>
      <c r="H19" s="8" t="str">
        <f aca="false">'Courier Invoice'!F19</f>
        <v>d</v>
      </c>
      <c r="I19" s="9" t="n">
        <f aca="false">(INDEX('Courier Rates'!$1:$2,2,MATCH("fwd_"&amp;$G19&amp;"_fixed",'Courier Rates'!$1:$1,0))+INDEX('Courier Rates'!$1:$2,2,MATCH("fwd_"&amp;$G19&amp;"_additional",'Courier Rates'!$1:$1,0))*MAX(0,(D19-0.5)/0.5))+IF(ISNUMBER(SEARCH("rto",'Courier Invoice'!G19)),(INDEX('Courier Rates'!$1:$2,2,MATCH("rto_"&amp;$G19&amp;"_fixed",'Courier Rates'!$1:$1,0))+INDEX('Courier Rates'!$1:$2,2,MATCH("rto_"&amp;$G19&amp;"_additional",'Courier Rates'!$1:$1,0))*MAX(0,(D19-0.5)/0.5)),0)</f>
        <v>90.2</v>
      </c>
      <c r="J19" s="9" t="n">
        <f aca="false">VALUE('Courier Invoice'!H19)</f>
        <v>90.2</v>
      </c>
      <c r="K19" s="9" t="n">
        <f aca="false">ROUND(J19-I19,2)</f>
        <v>0</v>
      </c>
    </row>
    <row r="20" customFormat="false" ht="15" hidden="false" customHeight="true" outlineLevel="0" collapsed="false">
      <c r="A20" s="8" t="str">
        <f aca="false">'Courier Invoice'!B20</f>
        <v>2001808295</v>
      </c>
      <c r="B20" s="8" t="str">
        <f aca="false">'Courier Invoice'!A20</f>
        <v>1091117435661</v>
      </c>
      <c r="C20" s="9" t="n">
        <f aca="false">SUMIF('Order Report'!$A:$A,$A20,'Order Report'!$D:$D)/1000</f>
        <v>0.245</v>
      </c>
      <c r="D20" s="9" t="n">
        <f aca="false">CEILING(C20,0.5)</f>
        <v>0.5</v>
      </c>
      <c r="E20" s="9" t="n">
        <f aca="false">VALUE('Courier Invoice'!C20)</f>
        <v>0.2</v>
      </c>
      <c r="F20" s="9" t="n">
        <f aca="false">CEILING(E20,0.5)</f>
        <v>0.5</v>
      </c>
      <c r="G20" s="8" t="str">
        <f aca="false">INDEX('Pincode Zones'!$C:$C,MATCH('Courier Invoice'!D20&amp;"-"&amp;'Courier Invoice'!E20,'Pincode Zones'!$D:$D,0))</f>
        <v>e</v>
      </c>
      <c r="H20" s="8" t="str">
        <f aca="false">'Courier Invoice'!F20</f>
        <v>e</v>
      </c>
      <c r="I20" s="9" t="n">
        <f aca="false">(INDEX('Courier Rates'!$1:$2,2,MATCH("fwd_"&amp;$G20&amp;"_fixed",'Courier Rates'!$1:$1,0))+INDEX('Courier Rates'!$1:$2,2,MATCH("fwd_"&amp;$G20&amp;"_additional",'Courier Rates'!$1:$1,0))*MAX(0,(D20-0.5)/0.5))+IF(ISNUMBER(SEARCH("rto",'Courier Invoice'!G20)),(INDEX('Courier Rates'!$1:$2,2,MATCH("rto_"&amp;$G20&amp;"_fixed",'Courier Rates'!$1:$1,0))+INDEX('Courier Rates'!$1:$2,2,MATCH("rto_"&amp;$G20&amp;"_additional",'Courier Rates'!$1:$1,0))*MAX(0,(D20-0.5)/0.5)),0)</f>
        <v>107.3</v>
      </c>
      <c r="J20" s="9" t="n">
        <f aca="false">VALUE('Courier Invoice'!H20)</f>
        <v>107.3</v>
      </c>
      <c r="K20" s="9" t="n">
        <f aca="false">ROUND(J20-I20,2)</f>
        <v>0</v>
      </c>
    </row>
    <row r="21" customFormat="false" ht="15" hidden="false" customHeight="true" outlineLevel="0" collapsed="false">
      <c r="A21" s="8" t="str">
        <f aca="false">'Courier Invoice'!B21</f>
        <v>2001808507</v>
      </c>
      <c r="B21" s="8" t="str">
        <f aca="false">'Courier Invoice'!A21</f>
        <v>1091117436383</v>
      </c>
      <c r="C21" s="9" t="n">
        <f aca="false">SUMIF('Order Report'!$A:$A,$A21,'Order Report'!$D:$D)/1000</f>
        <v>0.607</v>
      </c>
      <c r="D21" s="9" t="n">
        <f aca="false">CEILING(C21,0.5)</f>
        <v>1</v>
      </c>
      <c r="E21" s="9" t="n">
        <f aca="false">VALUE('Courier Invoice'!C21)</f>
        <v>0.79</v>
      </c>
      <c r="F21" s="9" t="n">
        <f aca="false">CEILING(E21,0.5)</f>
        <v>1</v>
      </c>
      <c r="G21" s="8" t="str">
        <f aca="false">INDEX('Pincode Zones'!$C:$C,MATCH('Courier Invoice'!D21&amp;"-"&amp;'Courier Invoice'!E21,'Pincode Zones'!$D:$D,0))</f>
        <v>b</v>
      </c>
      <c r="H21" s="8" t="str">
        <f aca="false">'Courier Invoice'!F21</f>
        <v>b</v>
      </c>
      <c r="I21" s="9" t="n">
        <f aca="false">(INDEX('Courier Rates'!$1:$2,2,MATCH("fwd_"&amp;$G21&amp;"_fixed",'Courier Rates'!$1:$1,0))+INDEX('Courier Rates'!$1:$2,2,MATCH("fwd_"&amp;$G21&amp;"_additional",'Courier Rates'!$1:$1,0))*MAX(0,(D21-0.5)/0.5))+IF(ISNUMBER(SEARCH("rto",'Courier Invoice'!G21)),(INDEX('Courier Rates'!$1:$2,2,MATCH("rto_"&amp;$G21&amp;"_fixed",'Courier Rates'!$1:$1,0))+INDEX('Courier Rates'!$1:$2,2,MATCH("rto_"&amp;$G21&amp;"_additional",'Courier Rates'!$1:$1,0))*MAX(0,(D21-0.5)/0.5)),0)</f>
        <v>61.3</v>
      </c>
      <c r="J21" s="9" t="n">
        <f aca="false">VALUE('Courier Invoice'!H21)</f>
        <v>61.3</v>
      </c>
      <c r="K21" s="9" t="n">
        <f aca="false">ROUND(J21-I21,2)</f>
        <v>0</v>
      </c>
    </row>
    <row r="22" customFormat="false" ht="15" hidden="false" customHeight="true" outlineLevel="0" collapsed="false">
      <c r="A22" s="8" t="str">
        <f aca="false">'Courier Invoice'!B22</f>
        <v>2001808542</v>
      </c>
      <c r="B22" s="8" t="str">
        <f aca="false">'Courier Invoice'!A22</f>
        <v>1091117436464</v>
      </c>
      <c r="C22" s="9" t="n">
        <f aca="false">SUMIF('Order Report'!$A:$A,$A22,'Order Report'!$D:$D)/1000</f>
        <v>0.734</v>
      </c>
      <c r="D22" s="9" t="n">
        <f aca="false">CEILING(C22,0.5)</f>
        <v>1</v>
      </c>
      <c r="E22" s="9" t="n">
        <f aca="false">VALUE('Courier Invoice'!C22)</f>
        <v>0.86</v>
      </c>
      <c r="F22" s="9" t="n">
        <f aca="false">CEILING(E22,0.5)</f>
        <v>1</v>
      </c>
      <c r="G22" s="8" t="str">
        <f aca="false">INDEX('Pincode Zones'!$C:$C,MATCH('Courier Invoice'!D22&amp;"-"&amp;'Courier Invoice'!E22,'Pincode Zones'!$D:$D,0))</f>
        <v>d</v>
      </c>
      <c r="H22" s="8" t="str">
        <f aca="false">'Courier Invoice'!F22</f>
        <v>d</v>
      </c>
      <c r="I22" s="9" t="n">
        <f aca="false">(INDEX('Courier Rates'!$1:$2,2,MATCH("fwd_"&amp;$G22&amp;"_fixed",'Courier Rates'!$1:$1,0))+INDEX('Courier Rates'!$1:$2,2,MATCH("fwd_"&amp;$G22&amp;"_additional",'Courier Rates'!$1:$1,0))*MAX(0,(D22-0.5)/0.5))+IF(ISNUMBER(SEARCH("rto",'Courier Invoice'!G22)),(INDEX('Courier Rates'!$1:$2,2,MATCH("rto_"&amp;$G22&amp;"_fixed",'Courier Rates'!$1:$1,0))+INDEX('Courier Rates'!$1:$2,2,MATCH("rto_"&amp;$G22&amp;"_additional",'Courier Rates'!$1:$1,0))*MAX(0,(D22-0.5)/0.5)),0)</f>
        <v>90.2</v>
      </c>
      <c r="J22" s="9" t="n">
        <f aca="false">VALUE('Courier Invoice'!H22)</f>
        <v>90.2</v>
      </c>
      <c r="K22" s="9" t="n">
        <f aca="false">ROUND(J22-I22,2)</f>
        <v>0</v>
      </c>
    </row>
    <row r="23" customFormat="false" ht="15" hidden="false" customHeight="true" outlineLevel="0" collapsed="false">
      <c r="A23" s="8" t="str">
        <f aca="false">'Courier Invoice'!B23</f>
        <v>2001808675</v>
      </c>
      <c r="B23" s="8" t="str">
        <f aca="false">'Courier Invoice'!A23</f>
        <v>1091117437050</v>
      </c>
      <c r="C23" s="9" t="n">
        <f aca="false">SUMIF('Order Report'!$A:$A,$A23,'Order Report'!$D:$D)/1000</f>
        <v>1.183</v>
      </c>
      <c r="D23" s="9" t="n">
        <f aca="false">CEILING(C23,0.5)</f>
        <v>1.5</v>
      </c>
      <c r="E23" s="9" t="n">
        <f aca="false">VALUE('Courier Invoice'!C23)</f>
        <v>1.2</v>
      </c>
      <c r="F23" s="9" t="n">
        <f aca="false">CEILING(E23,0.5)</f>
        <v>1.5</v>
      </c>
      <c r="G23" s="8" t="str">
        <f aca="false">INDEX('Pincode Zones'!$C:$C,MATCH('Courier Invoice'!D23&amp;"-"&amp;'Courier Invoice'!E23,'Pincode Zones'!$D:$D,0))</f>
        <v>b</v>
      </c>
      <c r="H23" s="8" t="str">
        <f aca="false">'Courier Invoice'!F23</f>
        <v>b</v>
      </c>
      <c r="I23" s="9" t="n">
        <f aca="false">(INDEX('Courier Rates'!$1:$2,2,MATCH("fwd_"&amp;$G23&amp;"_fixed",'Courier Rates'!$1:$1,0))+INDEX('Courier Rates'!$1:$2,2,MATCH("fwd_"&amp;$G23&amp;"_additional",'Courier Rates'!$1:$1,0))*MAX(0,(D23-0.5)/0.5))+IF(ISNUMBER(SEARCH("rto",'Courier Invoice'!G23)),(INDEX('Courier Rates'!$1:$2,2,MATCH("rto_"&amp;$G23&amp;"_fixed",'Courier Rates'!$1:$1,0))+INDEX('Courier Rates'!$1:$2,2,MATCH("rto_"&amp;$G23&amp;"_additional",'Courier Rates'!$1:$1,0))*MAX(0,(D23-0.5)/0.5)),0)</f>
        <v>89.6</v>
      </c>
      <c r="J23" s="9" t="n">
        <f aca="false">VALUE('Courier Invoice'!H23)</f>
        <v>89.6</v>
      </c>
      <c r="K23" s="9" t="n">
        <f aca="false">ROUND(J23-I23,2)</f>
        <v>0</v>
      </c>
    </row>
    <row r="24" customFormat="false" ht="15" hidden="false" customHeight="true" outlineLevel="0" collapsed="false">
      <c r="A24" s="8" t="str">
        <f aca="false">'Courier Invoice'!B24</f>
        <v>2001807976</v>
      </c>
      <c r="B24" s="8" t="str">
        <f aca="false">'Courier Invoice'!A24</f>
        <v>1091117327496</v>
      </c>
      <c r="C24" s="9" t="n">
        <f aca="false">SUMIF('Order Report'!$A:$A,$A24,'Order Report'!$D:$D)/1000</f>
        <v>0.721</v>
      </c>
      <c r="D24" s="9" t="n">
        <f aca="false">CEILING(C24,0.5)</f>
        <v>1</v>
      </c>
      <c r="E24" s="9" t="n">
        <f aca="false">VALUE('Courier Invoice'!C24)</f>
        <v>0.7</v>
      </c>
      <c r="F24" s="9" t="n">
        <f aca="false">CEILING(E24,0.5)</f>
        <v>1</v>
      </c>
      <c r="G24" s="8" t="str">
        <f aca="false">INDEX('Pincode Zones'!$C:$C,MATCH('Courier Invoice'!D24&amp;"-"&amp;'Courier Invoice'!E24,'Pincode Zones'!$D:$D,0))</f>
        <v>d</v>
      </c>
      <c r="H24" s="8" t="str">
        <f aca="false">'Courier Invoice'!F24</f>
        <v>d</v>
      </c>
      <c r="I24" s="9" t="n">
        <f aca="false">(INDEX('Courier Rates'!$1:$2,2,MATCH("fwd_"&amp;$G24&amp;"_fixed",'Courier Rates'!$1:$1,0))+INDEX('Courier Rates'!$1:$2,2,MATCH("fwd_"&amp;$G24&amp;"_additional",'Courier Rates'!$1:$1,0))*MAX(0,(D24-0.5)/0.5))+IF(ISNUMBER(SEARCH("rto",'Courier Invoice'!G24)),(INDEX('Courier Rates'!$1:$2,2,MATCH("rto_"&amp;$G24&amp;"_fixed",'Courier Rates'!$1:$1,0))+INDEX('Courier Rates'!$1:$2,2,MATCH("rto_"&amp;$G24&amp;"_additional",'Courier Rates'!$1:$1,0))*MAX(0,(D24-0.5)/0.5)),0)</f>
        <v>176.3</v>
      </c>
      <c r="J24" s="9" t="n">
        <f aca="false">VALUE('Courier Invoice'!H24)</f>
        <v>172.8</v>
      </c>
      <c r="K24" s="9" t="n">
        <f aca="false">ROUND(J24-I24,2)</f>
        <v>-3.5</v>
      </c>
    </row>
    <row r="25" customFormat="false" ht="15" hidden="false" customHeight="true" outlineLevel="0" collapsed="false">
      <c r="A25" s="8" t="str">
        <f aca="false">'Courier Invoice'!B25</f>
        <v>2001812838</v>
      </c>
      <c r="B25" s="8" t="str">
        <f aca="false">'Courier Invoice'!A25</f>
        <v>1091118547832</v>
      </c>
      <c r="C25" s="9" t="n">
        <f aca="false">SUMIF('Order Report'!$A:$A,$A25,'Order Report'!$D:$D)/1000</f>
        <v>0.558</v>
      </c>
      <c r="D25" s="9" t="n">
        <f aca="false">CEILING(C25,0.5)</f>
        <v>1</v>
      </c>
      <c r="E25" s="9" t="n">
        <f aca="false">VALUE('Courier Invoice'!C25)</f>
        <v>0.6</v>
      </c>
      <c r="F25" s="9" t="n">
        <f aca="false">CEILING(E25,0.5)</f>
        <v>1</v>
      </c>
      <c r="G25" s="8" t="str">
        <f aca="false">INDEX('Pincode Zones'!$C:$C,MATCH('Courier Invoice'!D25&amp;"-"&amp;'Courier Invoice'!E25,'Pincode Zones'!$D:$D,0))</f>
        <v>b</v>
      </c>
      <c r="H25" s="8" t="str">
        <f aca="false">'Courier Invoice'!F25</f>
        <v>b</v>
      </c>
      <c r="I25" s="9" t="n">
        <f aca="false">(INDEX('Courier Rates'!$1:$2,2,MATCH("fwd_"&amp;$G25&amp;"_fixed",'Courier Rates'!$1:$1,0))+INDEX('Courier Rates'!$1:$2,2,MATCH("fwd_"&amp;$G25&amp;"_additional",'Courier Rates'!$1:$1,0))*MAX(0,(D25-0.5)/0.5))+IF(ISNUMBER(SEARCH("rto",'Courier Invoice'!G25)),(INDEX('Courier Rates'!$1:$2,2,MATCH("rto_"&amp;$G25&amp;"_fixed",'Courier Rates'!$1:$1,0))+INDEX('Courier Rates'!$1:$2,2,MATCH("rto_"&amp;$G25&amp;"_additional",'Courier Rates'!$1:$1,0))*MAX(0,(D25-0.5)/0.5)),0)</f>
        <v>110.1</v>
      </c>
      <c r="J25" s="9" t="n">
        <f aca="false">VALUE('Courier Invoice'!H25)</f>
        <v>102.3</v>
      </c>
      <c r="K25" s="9" t="n">
        <f aca="false">ROUND(J25-I25,2)</f>
        <v>-7.8</v>
      </c>
    </row>
    <row r="26" customFormat="false" ht="15" hidden="false" customHeight="true" outlineLevel="0" collapsed="false">
      <c r="A26" s="8" t="str">
        <f aca="false">'Courier Invoice'!B26</f>
        <v>2001816684</v>
      </c>
      <c r="B26" s="8" t="str">
        <f aca="false">'Courier Invoice'!A26</f>
        <v>1091119398844</v>
      </c>
      <c r="C26" s="9" t="n">
        <f aca="false">SUMIF('Order Report'!$A:$A,$A26,'Order Report'!$D:$D)/1000</f>
        <v>0.92</v>
      </c>
      <c r="D26" s="9" t="n">
        <f aca="false">CEILING(C26,0.5)</f>
        <v>1</v>
      </c>
      <c r="E26" s="9" t="n">
        <f aca="false">VALUE('Courier Invoice'!C26)</f>
        <v>0.99</v>
      </c>
      <c r="F26" s="9" t="n">
        <f aca="false">CEILING(E26,0.5)</f>
        <v>1</v>
      </c>
      <c r="G26" s="8" t="str">
        <f aca="false">INDEX('Pincode Zones'!$C:$C,MATCH('Courier Invoice'!D26&amp;"-"&amp;'Courier Invoice'!E26,'Pincode Zones'!$D:$D,0))</f>
        <v>d</v>
      </c>
      <c r="H26" s="8" t="str">
        <f aca="false">'Courier Invoice'!F26</f>
        <v>d</v>
      </c>
      <c r="I26" s="9" t="n">
        <f aca="false">(INDEX('Courier Rates'!$1:$2,2,MATCH("fwd_"&amp;$G26&amp;"_fixed",'Courier Rates'!$1:$1,0))+INDEX('Courier Rates'!$1:$2,2,MATCH("fwd_"&amp;$G26&amp;"_additional",'Courier Rates'!$1:$1,0))*MAX(0,(D26-0.5)/0.5))+IF(ISNUMBER(SEARCH("rto",'Courier Invoice'!G26)),(INDEX('Courier Rates'!$1:$2,2,MATCH("rto_"&amp;$G26&amp;"_fixed",'Courier Rates'!$1:$1,0))+INDEX('Courier Rates'!$1:$2,2,MATCH("rto_"&amp;$G26&amp;"_additional",'Courier Rates'!$1:$1,0))*MAX(0,(D26-0.5)/0.5)),0)</f>
        <v>176.3</v>
      </c>
      <c r="J26" s="9" t="n">
        <f aca="false">VALUE('Courier Invoice'!H26)</f>
        <v>172.8</v>
      </c>
      <c r="K26" s="9" t="n">
        <f aca="false">ROUND(J26-I26,2)</f>
        <v>-3.5</v>
      </c>
    </row>
    <row r="27" customFormat="false" ht="15" hidden="false" customHeight="true" outlineLevel="0" collapsed="false">
      <c r="A27" s="8" t="str">
        <f aca="false">'Courier Invoice'!B27</f>
        <v>2001817160</v>
      </c>
      <c r="B27" s="8" t="str">
        <f aca="false">'Courier Invoice'!A27</f>
        <v>1091119630264</v>
      </c>
      <c r="C27" s="9" t="n">
        <f aca="false">SUMIF('Order Report'!$A:$A,$A27,'Order Report'!$D:$D)/1000</f>
        <v>0.7</v>
      </c>
      <c r="D27" s="9" t="n">
        <f aca="false">CEILING(C27,0.5)</f>
        <v>1</v>
      </c>
      <c r="E27" s="9" t="n">
        <f aca="false">VALUE('Courier Invoice'!C27)</f>
        <v>0.7</v>
      </c>
      <c r="F27" s="9" t="n">
        <f aca="false">CEILING(E27,0.5)</f>
        <v>1</v>
      </c>
      <c r="G27" s="8" t="str">
        <f aca="false">INDEX('Pincode Zones'!$C:$C,MATCH('Courier Invoice'!D27&amp;"-"&amp;'Courier Invoice'!E27,'Pincode Zones'!$D:$D,0))</f>
        <v>d</v>
      </c>
      <c r="H27" s="8" t="str">
        <f aca="false">'Courier Invoice'!F27</f>
        <v>d</v>
      </c>
      <c r="I27" s="9" t="n">
        <f aca="false">(INDEX('Courier Rates'!$1:$2,2,MATCH("fwd_"&amp;$G27&amp;"_fixed",'Courier Rates'!$1:$1,0))+INDEX('Courier Rates'!$1:$2,2,MATCH("fwd_"&amp;$G27&amp;"_additional",'Courier Rates'!$1:$1,0))*MAX(0,(D27-0.5)/0.5))+IF(ISNUMBER(SEARCH("rto",'Courier Invoice'!G27)),(INDEX('Courier Rates'!$1:$2,2,MATCH("rto_"&amp;$G27&amp;"_fixed",'Courier Rates'!$1:$1,0))+INDEX('Courier Rates'!$1:$2,2,MATCH("rto_"&amp;$G27&amp;"_additional",'Courier Rates'!$1:$1,0))*MAX(0,(D27-0.5)/0.5)),0)</f>
        <v>176.3</v>
      </c>
      <c r="J27" s="9" t="n">
        <f aca="false">VALUE('Courier Invoice'!H27)</f>
        <v>172.8</v>
      </c>
      <c r="K27" s="9" t="n">
        <f aca="false">ROUND(J27-I27,2)</f>
        <v>-3.5</v>
      </c>
    </row>
    <row r="28" customFormat="false" ht="15" hidden="false" customHeight="true" outlineLevel="0" collapsed="false">
      <c r="A28" s="8" t="str">
        <f aca="false">'Courier Invoice'!B28</f>
        <v>2001818390</v>
      </c>
      <c r="B28" s="8" t="str">
        <f aca="false">'Courier Invoice'!A28</f>
        <v>1091120014461</v>
      </c>
      <c r="C28" s="9" t="n">
        <f aca="false">SUMIF('Order Report'!$A:$A,$A28,'Order Report'!$D:$D)/1000</f>
        <v>0.841</v>
      </c>
      <c r="D28" s="9" t="n">
        <f aca="false">CEILING(C28,0.5)</f>
        <v>1</v>
      </c>
      <c r="E28" s="9" t="n">
        <f aca="false">VALUE('Courier Invoice'!C28)</f>
        <v>0.8</v>
      </c>
      <c r="F28" s="9" t="n">
        <f aca="false">CEILING(E28,0.5)</f>
        <v>1</v>
      </c>
      <c r="G28" s="8" t="str">
        <f aca="false">INDEX('Pincode Zones'!$C:$C,MATCH('Courier Invoice'!D28&amp;"-"&amp;'Courier Invoice'!E28,'Pincode Zones'!$D:$D,0))</f>
        <v>e</v>
      </c>
      <c r="H28" s="8" t="str">
        <f aca="false">'Courier Invoice'!F28</f>
        <v>e</v>
      </c>
      <c r="I28" s="9" t="n">
        <f aca="false">(INDEX('Courier Rates'!$1:$2,2,MATCH("fwd_"&amp;$G28&amp;"_fixed",'Courier Rates'!$1:$1,0))+INDEX('Courier Rates'!$1:$2,2,MATCH("fwd_"&amp;$G28&amp;"_additional",'Courier Rates'!$1:$1,0))*MAX(0,(D28-0.5)/0.5))+IF(ISNUMBER(SEARCH("rto",'Courier Invoice'!G28)),(INDEX('Courier Rates'!$1:$2,2,MATCH("rto_"&amp;$G28&amp;"_fixed",'Courier Rates'!$1:$1,0))+INDEX('Courier Rates'!$1:$2,2,MATCH("rto_"&amp;$G28&amp;"_additional",'Courier Rates'!$1:$1,0))*MAX(0,(D28-0.5)/0.5)),0)</f>
        <v>218.3</v>
      </c>
      <c r="J28" s="9" t="n">
        <f aca="false">VALUE('Courier Invoice'!H28)</f>
        <v>213.5</v>
      </c>
      <c r="K28" s="9" t="n">
        <f aca="false">ROUND(J28-I28,2)</f>
        <v>-4.8</v>
      </c>
    </row>
    <row r="29" customFormat="false" ht="15" hidden="false" customHeight="true" outlineLevel="0" collapsed="false">
      <c r="A29" s="8" t="str">
        <f aca="false">'Courier Invoice'!B29</f>
        <v>2001821190</v>
      </c>
      <c r="B29" s="8" t="str">
        <f aca="false">'Courier Invoice'!A29</f>
        <v>1091120959015</v>
      </c>
      <c r="C29" s="9" t="n">
        <f aca="false">SUMIF('Order Report'!$A:$A,$A29,'Order Report'!$D:$D)/1000</f>
        <v>1.2</v>
      </c>
      <c r="D29" s="9" t="n">
        <f aca="false">CEILING(C29,0.5)</f>
        <v>1.5</v>
      </c>
      <c r="E29" s="9" t="n">
        <f aca="false">VALUE('Courier Invoice'!C29)</f>
        <v>1.2</v>
      </c>
      <c r="F29" s="9" t="n">
        <f aca="false">CEILING(E29,0.5)</f>
        <v>1.5</v>
      </c>
      <c r="G29" s="8" t="str">
        <f aca="false">INDEX('Pincode Zones'!$C:$C,MATCH('Courier Invoice'!D29&amp;"-"&amp;'Courier Invoice'!E29,'Pincode Zones'!$D:$D,0))</f>
        <v>d</v>
      </c>
      <c r="H29" s="8" t="str">
        <f aca="false">'Courier Invoice'!F29</f>
        <v>d</v>
      </c>
      <c r="I29" s="9" t="n">
        <f aca="false">(INDEX('Courier Rates'!$1:$2,2,MATCH("fwd_"&amp;$G29&amp;"_fixed",'Courier Rates'!$1:$1,0))+INDEX('Courier Rates'!$1:$2,2,MATCH("fwd_"&amp;$G29&amp;"_additional",'Courier Rates'!$1:$1,0))*MAX(0,(D29-0.5)/0.5))+IF(ISNUMBER(SEARCH("rto",'Courier Invoice'!G29)),(INDEX('Courier Rates'!$1:$2,2,MATCH("rto_"&amp;$G29&amp;"_fixed",'Courier Rates'!$1:$1,0))+INDEX('Courier Rates'!$1:$2,2,MATCH("rto_"&amp;$G29&amp;"_additional",'Courier Rates'!$1:$1,0))*MAX(0,(D29-0.5)/0.5)),0)</f>
        <v>265.9</v>
      </c>
      <c r="J29" s="9" t="n">
        <f aca="false">VALUE('Courier Invoice'!H29)</f>
        <v>258.9</v>
      </c>
      <c r="K29" s="9" t="n">
        <f aca="false">ROUND(J29-I29,2)</f>
        <v>-7</v>
      </c>
    </row>
    <row r="30" customFormat="false" ht="15" hidden="false" customHeight="true" outlineLevel="0" collapsed="false">
      <c r="A30" s="8" t="str">
        <f aca="false">'Courier Invoice'!B30</f>
        <v>2001817093</v>
      </c>
      <c r="B30" s="8" t="str">
        <f aca="false">'Courier Invoice'!A30</f>
        <v>1091121485824</v>
      </c>
      <c r="C30" s="9" t="n">
        <f aca="false">SUMIF('Order Report'!$A:$A,$A30,'Order Report'!$D:$D)/1000</f>
        <v>1.357</v>
      </c>
      <c r="D30" s="9" t="n">
        <f aca="false">CEILING(C30,0.5)</f>
        <v>1.5</v>
      </c>
      <c r="E30" s="9" t="n">
        <f aca="false">VALUE('Courier Invoice'!C30)</f>
        <v>1.3</v>
      </c>
      <c r="F30" s="9" t="n">
        <f aca="false">CEILING(E30,0.5)</f>
        <v>1.5</v>
      </c>
      <c r="G30" s="8" t="str">
        <f aca="false">INDEX('Pincode Zones'!$C:$C,MATCH('Courier Invoice'!D30&amp;"-"&amp;'Courier Invoice'!E30,'Pincode Zones'!$D:$D,0))</f>
        <v>b</v>
      </c>
      <c r="H30" s="8" t="str">
        <f aca="false">'Courier Invoice'!F30</f>
        <v>b</v>
      </c>
      <c r="I30" s="9" t="n">
        <f aca="false">(INDEX('Courier Rates'!$1:$2,2,MATCH("fwd_"&amp;$G30&amp;"_fixed",'Courier Rates'!$1:$1,0))+INDEX('Courier Rates'!$1:$2,2,MATCH("fwd_"&amp;$G30&amp;"_additional",'Courier Rates'!$1:$1,0))*MAX(0,(D30-0.5)/0.5))+IF(ISNUMBER(SEARCH("rto",'Courier Invoice'!G30)),(INDEX('Courier Rates'!$1:$2,2,MATCH("rto_"&amp;$G30&amp;"_fixed",'Courier Rates'!$1:$1,0))+INDEX('Courier Rates'!$1:$2,2,MATCH("rto_"&amp;$G30&amp;"_additional",'Courier Rates'!$1:$1,0))*MAX(0,(D30-0.5)/0.5)),0)</f>
        <v>166.7</v>
      </c>
      <c r="J30" s="9" t="n">
        <f aca="false">VALUE('Courier Invoice'!H30)</f>
        <v>151.1</v>
      </c>
      <c r="K30" s="9" t="n">
        <f aca="false">ROUND(J30-I30,2)</f>
        <v>-15.6</v>
      </c>
    </row>
    <row r="31" customFormat="false" ht="15" hidden="false" customHeight="true" outlineLevel="0" collapsed="false">
      <c r="A31" s="8" t="str">
        <f aca="false">'Courier Invoice'!B31</f>
        <v>2001823564</v>
      </c>
      <c r="B31" s="8" t="str">
        <f aca="false">'Courier Invoice'!A31</f>
        <v>1091121666133</v>
      </c>
      <c r="C31" s="9" t="n">
        <f aca="false">SUMIF('Order Report'!$A:$A,$A31,'Order Report'!$D:$D)/1000</f>
        <v>0.672</v>
      </c>
      <c r="D31" s="9" t="n">
        <f aca="false">CEILING(C31,0.5)</f>
        <v>1</v>
      </c>
      <c r="E31" s="9" t="n">
        <f aca="false">VALUE('Courier Invoice'!C31)</f>
        <v>0.7</v>
      </c>
      <c r="F31" s="9" t="n">
        <f aca="false">CEILING(E31,0.5)</f>
        <v>1</v>
      </c>
      <c r="G31" s="8" t="str">
        <f aca="false">INDEX('Pincode Zones'!$C:$C,MATCH('Courier Invoice'!D31&amp;"-"&amp;'Courier Invoice'!E31,'Pincode Zones'!$D:$D,0))</f>
        <v>d</v>
      </c>
      <c r="H31" s="8" t="str">
        <f aca="false">'Courier Invoice'!F31</f>
        <v>d</v>
      </c>
      <c r="I31" s="9" t="n">
        <f aca="false">(INDEX('Courier Rates'!$1:$2,2,MATCH("fwd_"&amp;$G31&amp;"_fixed",'Courier Rates'!$1:$1,0))+INDEX('Courier Rates'!$1:$2,2,MATCH("fwd_"&amp;$G31&amp;"_additional",'Courier Rates'!$1:$1,0))*MAX(0,(D31-0.5)/0.5))+IF(ISNUMBER(SEARCH("rto",'Courier Invoice'!G31)),(INDEX('Courier Rates'!$1:$2,2,MATCH("rto_"&amp;$G31&amp;"_fixed",'Courier Rates'!$1:$1,0))+INDEX('Courier Rates'!$1:$2,2,MATCH("rto_"&amp;$G31&amp;"_additional",'Courier Rates'!$1:$1,0))*MAX(0,(D31-0.5)/0.5)),0)</f>
        <v>176.3</v>
      </c>
      <c r="J31" s="9" t="n">
        <f aca="false">VALUE('Courier Invoice'!H31)</f>
        <v>172.8</v>
      </c>
      <c r="K31" s="9" t="n">
        <f aca="false">ROUND(J31-I31,2)</f>
        <v>-3.5</v>
      </c>
    </row>
    <row r="32" customFormat="false" ht="15" hidden="false" customHeight="true" outlineLevel="0" collapsed="false">
      <c r="A32" s="8" t="str">
        <f aca="false">'Courier Invoice'!B32</f>
        <v>2001825261</v>
      </c>
      <c r="B32" s="8" t="str">
        <f aca="false">'Courier Invoice'!A32</f>
        <v>1091121981575</v>
      </c>
      <c r="C32" s="9" t="n">
        <f aca="false">SUMIF('Order Report'!$A:$A,$A32,'Order Report'!$D:$D)/1000</f>
        <v>1.557</v>
      </c>
      <c r="D32" s="9" t="n">
        <f aca="false">CEILING(C32,0.5)</f>
        <v>2</v>
      </c>
      <c r="E32" s="9" t="n">
        <f aca="false">VALUE('Courier Invoice'!C32)</f>
        <v>1.6</v>
      </c>
      <c r="F32" s="9" t="n">
        <f aca="false">CEILING(E32,0.5)</f>
        <v>2</v>
      </c>
      <c r="G32" s="8" t="str">
        <f aca="false">INDEX('Pincode Zones'!$C:$C,MATCH('Courier Invoice'!D32&amp;"-"&amp;'Courier Invoice'!E32,'Pincode Zones'!$D:$D,0))</f>
        <v>d</v>
      </c>
      <c r="H32" s="8" t="str">
        <f aca="false">'Courier Invoice'!F32</f>
        <v>d</v>
      </c>
      <c r="I32" s="9" t="n">
        <f aca="false">(INDEX('Courier Rates'!$1:$2,2,MATCH("fwd_"&amp;$G32&amp;"_fixed",'Courier Rates'!$1:$1,0))+INDEX('Courier Rates'!$1:$2,2,MATCH("fwd_"&amp;$G32&amp;"_additional",'Courier Rates'!$1:$1,0))*MAX(0,(D32-0.5)/0.5))+IF(ISNUMBER(SEARCH("rto",'Courier Invoice'!G32)),(INDEX('Courier Rates'!$1:$2,2,MATCH("rto_"&amp;$G32&amp;"_fixed",'Courier Rates'!$1:$1,0))+INDEX('Courier Rates'!$1:$2,2,MATCH("rto_"&amp;$G32&amp;"_additional",'Courier Rates'!$1:$1,0))*MAX(0,(D32-0.5)/0.5)),0)</f>
        <v>355.5</v>
      </c>
      <c r="J32" s="9" t="n">
        <f aca="false">VALUE('Courier Invoice'!H32)</f>
        <v>345</v>
      </c>
      <c r="K32" s="9" t="n">
        <f aca="false">ROUND(J32-I32,2)</f>
        <v>-10.5</v>
      </c>
    </row>
    <row r="33" customFormat="false" ht="15" hidden="false" customHeight="true" outlineLevel="0" collapsed="false">
      <c r="A33" s="8" t="str">
        <f aca="false">'Courier Invoice'!B33</f>
        <v>2001811192</v>
      </c>
      <c r="B33" s="8" t="str">
        <f aca="false">'Courier Invoice'!A33</f>
        <v>1091117957780</v>
      </c>
      <c r="C33" s="9" t="n">
        <f aca="false">SUMIF('Order Report'!$A:$A,$A33,'Order Report'!$D:$D)/1000</f>
        <v>1.032</v>
      </c>
      <c r="D33" s="9" t="n">
        <f aca="false">CEILING(C33,0.5)</f>
        <v>1.5</v>
      </c>
      <c r="E33" s="9" t="n">
        <f aca="false">VALUE('Courier Invoice'!C33)</f>
        <v>1.13</v>
      </c>
      <c r="F33" s="9" t="n">
        <f aca="false">CEILING(E33,0.5)</f>
        <v>1.5</v>
      </c>
      <c r="G33" s="8" t="str">
        <f aca="false">INDEX('Pincode Zones'!$C:$C,MATCH('Courier Invoice'!D33&amp;"-"&amp;'Courier Invoice'!E33,'Pincode Zones'!$D:$D,0))</f>
        <v>d</v>
      </c>
      <c r="H33" s="8" t="str">
        <f aca="false">'Courier Invoice'!F33</f>
        <v>d</v>
      </c>
      <c r="I33" s="9" t="n">
        <f aca="false">(INDEX('Courier Rates'!$1:$2,2,MATCH("fwd_"&amp;$G33&amp;"_fixed",'Courier Rates'!$1:$1,0))+INDEX('Courier Rates'!$1:$2,2,MATCH("fwd_"&amp;$G33&amp;"_additional",'Courier Rates'!$1:$1,0))*MAX(0,(D33-0.5)/0.5))+IF(ISNUMBER(SEARCH("rto",'Courier Invoice'!G33)),(INDEX('Courier Rates'!$1:$2,2,MATCH("rto_"&amp;$G33&amp;"_fixed",'Courier Rates'!$1:$1,0))+INDEX('Courier Rates'!$1:$2,2,MATCH("rto_"&amp;$G33&amp;"_additional",'Courier Rates'!$1:$1,0))*MAX(0,(D33-0.5)/0.5)),0)</f>
        <v>265.9</v>
      </c>
      <c r="J33" s="9" t="n">
        <f aca="false">VALUE('Courier Invoice'!H33)</f>
        <v>258.9</v>
      </c>
      <c r="K33" s="9" t="n">
        <f aca="false">ROUND(J33-I33,2)</f>
        <v>-7</v>
      </c>
    </row>
    <row r="34" customFormat="false" ht="15" hidden="false" customHeight="true" outlineLevel="0" collapsed="false">
      <c r="A34" s="8" t="str">
        <f aca="false">'Courier Invoice'!B34</f>
        <v>2001809917</v>
      </c>
      <c r="B34" s="8" t="str">
        <f aca="false">'Courier Invoice'!A34</f>
        <v>1091121482593</v>
      </c>
      <c r="C34" s="9" t="n">
        <f aca="false">SUMIF('Order Report'!$A:$A,$A34,'Order Report'!$D:$D)/1000</f>
        <v>0.63</v>
      </c>
      <c r="D34" s="9" t="n">
        <f aca="false">CEILING(C34,0.5)</f>
        <v>1</v>
      </c>
      <c r="E34" s="9" t="n">
        <f aca="false">VALUE('Courier Invoice'!C34)</f>
        <v>0.6</v>
      </c>
      <c r="F34" s="9" t="n">
        <f aca="false">CEILING(E34,0.5)</f>
        <v>1</v>
      </c>
      <c r="G34" s="8" t="str">
        <f aca="false">INDEX('Pincode Zones'!$C:$C,MATCH('Courier Invoice'!D34&amp;"-"&amp;'Courier Invoice'!E34,'Pincode Zones'!$D:$D,0))</f>
        <v>d</v>
      </c>
      <c r="H34" s="8" t="str">
        <f aca="false">'Courier Invoice'!F34</f>
        <v>d</v>
      </c>
      <c r="I34" s="9" t="n">
        <f aca="false">(INDEX('Courier Rates'!$1:$2,2,MATCH("fwd_"&amp;$G34&amp;"_fixed",'Courier Rates'!$1:$1,0))+INDEX('Courier Rates'!$1:$2,2,MATCH("fwd_"&amp;$G34&amp;"_additional",'Courier Rates'!$1:$1,0))*MAX(0,(D34-0.5)/0.5))+IF(ISNUMBER(SEARCH("rto",'Courier Invoice'!G34)),(INDEX('Courier Rates'!$1:$2,2,MATCH("rto_"&amp;$G34&amp;"_fixed",'Courier Rates'!$1:$1,0))+INDEX('Courier Rates'!$1:$2,2,MATCH("rto_"&amp;$G34&amp;"_additional",'Courier Rates'!$1:$1,0))*MAX(0,(D34-0.5)/0.5)),0)</f>
        <v>176.3</v>
      </c>
      <c r="J34" s="9" t="n">
        <f aca="false">VALUE('Courier Invoice'!H34)</f>
        <v>172.8</v>
      </c>
      <c r="K34" s="9" t="n">
        <f aca="false">ROUND(J34-I34,2)</f>
        <v>-3.5</v>
      </c>
    </row>
    <row r="35" customFormat="false" ht="15" hidden="false" customHeight="true" outlineLevel="0" collapsed="false">
      <c r="A35" s="8" t="str">
        <f aca="false">'Courier Invoice'!B35</f>
        <v>2001806210</v>
      </c>
      <c r="B35" s="8" t="str">
        <f aca="false">'Courier Invoice'!A35</f>
        <v>1091117221940</v>
      </c>
      <c r="C35" s="9" t="n">
        <f aca="false">SUMIF('Order Report'!$A:$A,$A35,'Order Report'!$D:$D)/1000</f>
        <v>0.22</v>
      </c>
      <c r="D35" s="9" t="n">
        <f aca="false">CEILING(C35,0.5)</f>
        <v>0.5</v>
      </c>
      <c r="E35" s="9" t="n">
        <f aca="false">VALUE('Courier Invoice'!C35)</f>
        <v>2.92</v>
      </c>
      <c r="F35" s="9" t="n">
        <f aca="false">CEILING(E35,0.5)</f>
        <v>3</v>
      </c>
      <c r="G35" s="8" t="str">
        <f aca="false">INDEX('Pincode Zones'!$C:$C,MATCH('Courier Invoice'!D35&amp;"-"&amp;'Courier Invoice'!E35,'Pincode Zones'!$D:$D,0))</f>
        <v>b</v>
      </c>
      <c r="H35" s="8" t="str">
        <f aca="false">'Courier Invoice'!F35</f>
        <v>b</v>
      </c>
      <c r="I35" s="9" t="n">
        <f aca="false">(INDEX('Courier Rates'!$1:$2,2,MATCH("fwd_"&amp;$G35&amp;"_fixed",'Courier Rates'!$1:$1,0))+INDEX('Courier Rates'!$1:$2,2,MATCH("fwd_"&amp;$G35&amp;"_additional",'Courier Rates'!$1:$1,0))*MAX(0,(D35-0.5)/0.5))+IF(ISNUMBER(SEARCH("rto",'Courier Invoice'!G35)),(INDEX('Courier Rates'!$1:$2,2,MATCH("rto_"&amp;$G35&amp;"_fixed",'Courier Rates'!$1:$1,0))+INDEX('Courier Rates'!$1:$2,2,MATCH("rto_"&amp;$G35&amp;"_additional",'Courier Rates'!$1:$1,0))*MAX(0,(D35-0.5)/0.5)),0)</f>
        <v>33</v>
      </c>
      <c r="J35" s="9" t="n">
        <f aca="false">VALUE('Courier Invoice'!H35)</f>
        <v>174.5</v>
      </c>
      <c r="K35" s="9" t="n">
        <f aca="false">ROUND(J35-I35,2)</f>
        <v>141.5</v>
      </c>
    </row>
    <row r="36" customFormat="false" ht="15" hidden="false" customHeight="true" outlineLevel="0" collapsed="false">
      <c r="A36" s="8" t="str">
        <f aca="false">'Courier Invoice'!B36</f>
        <v>2001806226</v>
      </c>
      <c r="B36" s="8" t="str">
        <f aca="false">'Courier Invoice'!A36</f>
        <v>1091117222065</v>
      </c>
      <c r="C36" s="9" t="n">
        <f aca="false">SUMIF('Order Report'!$A:$A,$A36,'Order Report'!$D:$D)/1000</f>
        <v>0.48</v>
      </c>
      <c r="D36" s="9" t="n">
        <f aca="false">CEILING(C36,0.5)</f>
        <v>0.5</v>
      </c>
      <c r="E36" s="9" t="n">
        <f aca="false">VALUE('Courier Invoice'!C36)</f>
        <v>0.68</v>
      </c>
      <c r="F36" s="9" t="n">
        <f aca="false">CEILING(E36,0.5)</f>
        <v>1</v>
      </c>
      <c r="G36" s="8" t="str">
        <f aca="false">INDEX('Pincode Zones'!$C:$C,MATCH('Courier Invoice'!D36&amp;"-"&amp;'Courier Invoice'!E36,'Pincode Zones'!$D:$D,0))</f>
        <v>d</v>
      </c>
      <c r="H36" s="8" t="str">
        <f aca="false">'Courier Invoice'!F36</f>
        <v>d</v>
      </c>
      <c r="I36" s="9" t="n">
        <f aca="false">(INDEX('Courier Rates'!$1:$2,2,MATCH("fwd_"&amp;$G36&amp;"_fixed",'Courier Rates'!$1:$1,0))+INDEX('Courier Rates'!$1:$2,2,MATCH("fwd_"&amp;$G36&amp;"_additional",'Courier Rates'!$1:$1,0))*MAX(0,(D36-0.5)/0.5))+IF(ISNUMBER(SEARCH("rto",'Courier Invoice'!G36)),(INDEX('Courier Rates'!$1:$2,2,MATCH("rto_"&amp;$G36&amp;"_fixed",'Courier Rates'!$1:$1,0))+INDEX('Courier Rates'!$1:$2,2,MATCH("rto_"&amp;$G36&amp;"_additional",'Courier Rates'!$1:$1,0))*MAX(0,(D36-0.5)/0.5)),0)</f>
        <v>45.4</v>
      </c>
      <c r="J36" s="9" t="n">
        <f aca="false">VALUE('Courier Invoice'!H36)</f>
        <v>90.2</v>
      </c>
      <c r="K36" s="9" t="n">
        <f aca="false">ROUND(J36-I36,2)</f>
        <v>44.8</v>
      </c>
    </row>
    <row r="37" customFormat="false" ht="15" hidden="false" customHeight="true" outlineLevel="0" collapsed="false">
      <c r="A37" s="8" t="str">
        <f aca="false">'Courier Invoice'!B37</f>
        <v>2001806229</v>
      </c>
      <c r="B37" s="8" t="str">
        <f aca="false">'Courier Invoice'!A37</f>
        <v>1091117222080</v>
      </c>
      <c r="C37" s="9" t="n">
        <f aca="false">SUMIF('Order Report'!$A:$A,$A37,'Order Report'!$D:$D)/1000</f>
        <v>0.5</v>
      </c>
      <c r="D37" s="9" t="n">
        <f aca="false">CEILING(C37,0.5)</f>
        <v>0.5</v>
      </c>
      <c r="E37" s="9" t="n">
        <f aca="false">VALUE('Courier Invoice'!C37)</f>
        <v>0.71</v>
      </c>
      <c r="F37" s="9" t="n">
        <f aca="false">CEILING(E37,0.5)</f>
        <v>1</v>
      </c>
      <c r="G37" s="8" t="str">
        <f aca="false">INDEX('Pincode Zones'!$C:$C,MATCH('Courier Invoice'!D37&amp;"-"&amp;'Courier Invoice'!E37,'Pincode Zones'!$D:$D,0))</f>
        <v>d</v>
      </c>
      <c r="H37" s="8" t="str">
        <f aca="false">'Courier Invoice'!F37</f>
        <v>d</v>
      </c>
      <c r="I37" s="9" t="n">
        <f aca="false">(INDEX('Courier Rates'!$1:$2,2,MATCH("fwd_"&amp;$G37&amp;"_fixed",'Courier Rates'!$1:$1,0))+INDEX('Courier Rates'!$1:$2,2,MATCH("fwd_"&amp;$G37&amp;"_additional",'Courier Rates'!$1:$1,0))*MAX(0,(D37-0.5)/0.5))+IF(ISNUMBER(SEARCH("rto",'Courier Invoice'!G37)),(INDEX('Courier Rates'!$1:$2,2,MATCH("rto_"&amp;$G37&amp;"_fixed",'Courier Rates'!$1:$1,0))+INDEX('Courier Rates'!$1:$2,2,MATCH("rto_"&amp;$G37&amp;"_additional",'Courier Rates'!$1:$1,0))*MAX(0,(D37-0.5)/0.5)),0)</f>
        <v>45.4</v>
      </c>
      <c r="J37" s="9" t="n">
        <f aca="false">VALUE('Courier Invoice'!H37)</f>
        <v>90.2</v>
      </c>
      <c r="K37" s="9" t="n">
        <f aca="false">ROUND(J37-I37,2)</f>
        <v>44.8</v>
      </c>
    </row>
    <row r="38" customFormat="false" ht="15" hidden="false" customHeight="true" outlineLevel="0" collapsed="false">
      <c r="A38" s="8" t="str">
        <f aca="false">'Courier Invoice'!B38</f>
        <v>2001806233</v>
      </c>
      <c r="B38" s="8" t="str">
        <f aca="false">'Courier Invoice'!A38</f>
        <v>1091117222135</v>
      </c>
      <c r="C38" s="9" t="n">
        <f aca="false">SUMIF('Order Report'!$A:$A,$A38,'Order Report'!$D:$D)/1000</f>
        <v>0.245</v>
      </c>
      <c r="D38" s="9" t="n">
        <f aca="false">CEILING(C38,0.5)</f>
        <v>0.5</v>
      </c>
      <c r="E38" s="9" t="n">
        <f aca="false">VALUE('Courier Invoice'!C38)</f>
        <v>0.78</v>
      </c>
      <c r="F38" s="9" t="n">
        <f aca="false">CEILING(E38,0.5)</f>
        <v>1</v>
      </c>
      <c r="G38" s="8" t="str">
        <f aca="false">INDEX('Pincode Zones'!$C:$C,MATCH('Courier Invoice'!D38&amp;"-"&amp;'Courier Invoice'!E38,'Pincode Zones'!$D:$D,0))</f>
        <v>b</v>
      </c>
      <c r="H38" s="8" t="str">
        <f aca="false">'Courier Invoice'!F38</f>
        <v>b</v>
      </c>
      <c r="I38" s="9" t="n">
        <f aca="false">(INDEX('Courier Rates'!$1:$2,2,MATCH("fwd_"&amp;$G38&amp;"_fixed",'Courier Rates'!$1:$1,0))+INDEX('Courier Rates'!$1:$2,2,MATCH("fwd_"&amp;$G38&amp;"_additional",'Courier Rates'!$1:$1,0))*MAX(0,(D38-0.5)/0.5))+IF(ISNUMBER(SEARCH("rto",'Courier Invoice'!G38)),(INDEX('Courier Rates'!$1:$2,2,MATCH("rto_"&amp;$G38&amp;"_fixed",'Courier Rates'!$1:$1,0))+INDEX('Courier Rates'!$1:$2,2,MATCH("rto_"&amp;$G38&amp;"_additional",'Courier Rates'!$1:$1,0))*MAX(0,(D38-0.5)/0.5)),0)</f>
        <v>33</v>
      </c>
      <c r="J38" s="9" t="n">
        <f aca="false">VALUE('Courier Invoice'!H38)</f>
        <v>61.3</v>
      </c>
      <c r="K38" s="9" t="n">
        <f aca="false">ROUND(J38-I38,2)</f>
        <v>28.3</v>
      </c>
    </row>
    <row r="39" customFormat="false" ht="15" hidden="false" customHeight="true" outlineLevel="0" collapsed="false">
      <c r="A39" s="8" t="str">
        <f aca="false">'Courier Invoice'!B39</f>
        <v>2001806251</v>
      </c>
      <c r="B39" s="8" t="str">
        <f aca="false">'Courier Invoice'!A39</f>
        <v>1091117222146</v>
      </c>
      <c r="C39" s="9" t="n">
        <f aca="false">SUMIF('Order Report'!$A:$A,$A39,'Order Report'!$D:$D)/1000</f>
        <v>0.245</v>
      </c>
      <c r="D39" s="9" t="n">
        <f aca="false">CEILING(C39,0.5)</f>
        <v>0.5</v>
      </c>
      <c r="E39" s="9" t="n">
        <f aca="false">VALUE('Courier Invoice'!C39)</f>
        <v>1.27</v>
      </c>
      <c r="F39" s="9" t="n">
        <f aca="false">CEILING(E39,0.5)</f>
        <v>1.5</v>
      </c>
      <c r="G39" s="8" t="str">
        <f aca="false">INDEX('Pincode Zones'!$C:$C,MATCH('Courier Invoice'!D39&amp;"-"&amp;'Courier Invoice'!E39,'Pincode Zones'!$D:$D,0))</f>
        <v>d</v>
      </c>
      <c r="H39" s="8" t="str">
        <f aca="false">'Courier Invoice'!F39</f>
        <v>d</v>
      </c>
      <c r="I39" s="9" t="n">
        <f aca="false">(INDEX('Courier Rates'!$1:$2,2,MATCH("fwd_"&amp;$G39&amp;"_fixed",'Courier Rates'!$1:$1,0))+INDEX('Courier Rates'!$1:$2,2,MATCH("fwd_"&amp;$G39&amp;"_additional",'Courier Rates'!$1:$1,0))*MAX(0,(D39-0.5)/0.5))+IF(ISNUMBER(SEARCH("rto",'Courier Invoice'!G39)),(INDEX('Courier Rates'!$1:$2,2,MATCH("rto_"&amp;$G39&amp;"_fixed",'Courier Rates'!$1:$1,0))+INDEX('Courier Rates'!$1:$2,2,MATCH("rto_"&amp;$G39&amp;"_additional",'Courier Rates'!$1:$1,0))*MAX(0,(D39-0.5)/0.5)),0)</f>
        <v>45.4</v>
      </c>
      <c r="J39" s="9" t="n">
        <f aca="false">VALUE('Courier Invoice'!H39)</f>
        <v>135</v>
      </c>
      <c r="K39" s="9" t="n">
        <f aca="false">ROUND(J39-I39,2)</f>
        <v>89.6</v>
      </c>
    </row>
    <row r="40" customFormat="false" ht="15" hidden="false" customHeight="true" outlineLevel="0" collapsed="false">
      <c r="A40" s="8" t="str">
        <f aca="false">'Courier Invoice'!B40</f>
        <v>2001806338</v>
      </c>
      <c r="B40" s="8" t="str">
        <f aca="false">'Courier Invoice'!A40</f>
        <v>1091117222570</v>
      </c>
      <c r="C40" s="9" t="n">
        <f aca="false">SUMIF('Order Report'!$A:$A,$A40,'Order Report'!$D:$D)/1000</f>
        <v>0.5</v>
      </c>
      <c r="D40" s="9" t="n">
        <f aca="false">CEILING(C40,0.5)</f>
        <v>0.5</v>
      </c>
      <c r="E40" s="9" t="n">
        <f aca="false">VALUE('Courier Invoice'!C40)</f>
        <v>0.7</v>
      </c>
      <c r="F40" s="9" t="n">
        <f aca="false">CEILING(E40,0.5)</f>
        <v>1</v>
      </c>
      <c r="G40" s="8" t="str">
        <f aca="false">INDEX('Pincode Zones'!$C:$C,MATCH('Courier Invoice'!D40&amp;"-"&amp;'Courier Invoice'!E40,'Pincode Zones'!$D:$D,0))</f>
        <v>d</v>
      </c>
      <c r="H40" s="8" t="str">
        <f aca="false">'Courier Invoice'!F40</f>
        <v>d</v>
      </c>
      <c r="I40" s="9" t="n">
        <f aca="false">(INDEX('Courier Rates'!$1:$2,2,MATCH("fwd_"&amp;$G40&amp;"_fixed",'Courier Rates'!$1:$1,0))+INDEX('Courier Rates'!$1:$2,2,MATCH("fwd_"&amp;$G40&amp;"_additional",'Courier Rates'!$1:$1,0))*MAX(0,(D40-0.5)/0.5))+IF(ISNUMBER(SEARCH("rto",'Courier Invoice'!G40)),(INDEX('Courier Rates'!$1:$2,2,MATCH("rto_"&amp;$G40&amp;"_fixed",'Courier Rates'!$1:$1,0))+INDEX('Courier Rates'!$1:$2,2,MATCH("rto_"&amp;$G40&amp;"_additional",'Courier Rates'!$1:$1,0))*MAX(0,(D40-0.5)/0.5)),0)</f>
        <v>45.4</v>
      </c>
      <c r="J40" s="9" t="n">
        <f aca="false">VALUE('Courier Invoice'!H40)</f>
        <v>90.2</v>
      </c>
      <c r="K40" s="9" t="n">
        <f aca="false">ROUND(J40-I40,2)</f>
        <v>44.8</v>
      </c>
    </row>
    <row r="41" customFormat="false" ht="15" hidden="false" customHeight="true" outlineLevel="0" collapsed="false">
      <c r="A41" s="8" t="str">
        <f aca="false">'Courier Invoice'!B41</f>
        <v>2001806446</v>
      </c>
      <c r="B41" s="8" t="str">
        <f aca="false">'Courier Invoice'!A41</f>
        <v>1091117223211</v>
      </c>
      <c r="C41" s="9" t="n">
        <f aca="false">SUMIF('Order Report'!$A:$A,$A41,'Order Report'!$D:$D)/1000</f>
        <v>0.5</v>
      </c>
      <c r="D41" s="9" t="n">
        <f aca="false">CEILING(C41,0.5)</f>
        <v>0.5</v>
      </c>
      <c r="E41" s="9" t="n">
        <f aca="false">VALUE('Courier Invoice'!C41)</f>
        <v>0.69</v>
      </c>
      <c r="F41" s="9" t="n">
        <f aca="false">CEILING(E41,0.5)</f>
        <v>1</v>
      </c>
      <c r="G41" s="8" t="str">
        <f aca="false">INDEX('Pincode Zones'!$C:$C,MATCH('Courier Invoice'!D41&amp;"-"&amp;'Courier Invoice'!E41,'Pincode Zones'!$D:$D,0))</f>
        <v>d</v>
      </c>
      <c r="H41" s="8" t="str">
        <f aca="false">'Courier Invoice'!F41</f>
        <v>d</v>
      </c>
      <c r="I41" s="9" t="n">
        <f aca="false">(INDEX('Courier Rates'!$1:$2,2,MATCH("fwd_"&amp;$G41&amp;"_fixed",'Courier Rates'!$1:$1,0))+INDEX('Courier Rates'!$1:$2,2,MATCH("fwd_"&amp;$G41&amp;"_additional",'Courier Rates'!$1:$1,0))*MAX(0,(D41-0.5)/0.5))+IF(ISNUMBER(SEARCH("rto",'Courier Invoice'!G41)),(INDEX('Courier Rates'!$1:$2,2,MATCH("rto_"&amp;$G41&amp;"_fixed",'Courier Rates'!$1:$1,0))+INDEX('Courier Rates'!$1:$2,2,MATCH("rto_"&amp;$G41&amp;"_additional",'Courier Rates'!$1:$1,0))*MAX(0,(D41-0.5)/0.5)),0)</f>
        <v>45.4</v>
      </c>
      <c r="J41" s="9" t="n">
        <f aca="false">VALUE('Courier Invoice'!H41)</f>
        <v>90.2</v>
      </c>
      <c r="K41" s="9" t="n">
        <f aca="false">ROUND(J41-I41,2)</f>
        <v>44.8</v>
      </c>
    </row>
    <row r="42" customFormat="false" ht="15" hidden="false" customHeight="true" outlineLevel="0" collapsed="false">
      <c r="A42" s="8" t="str">
        <f aca="false">'Courier Invoice'!B42</f>
        <v>2001806533</v>
      </c>
      <c r="B42" s="8" t="str">
        <f aca="false">'Courier Invoice'!A42</f>
        <v>1091117224353</v>
      </c>
      <c r="C42" s="9" t="n">
        <f aca="false">SUMIF('Order Report'!$A:$A,$A42,'Order Report'!$D:$D)/1000</f>
        <v>0.5</v>
      </c>
      <c r="D42" s="9" t="n">
        <f aca="false">CEILING(C42,0.5)</f>
        <v>0.5</v>
      </c>
      <c r="E42" s="9" t="n">
        <f aca="false">VALUE('Courier Invoice'!C42)</f>
        <v>0.68</v>
      </c>
      <c r="F42" s="9" t="n">
        <f aca="false">CEILING(E42,0.5)</f>
        <v>1</v>
      </c>
      <c r="G42" s="8" t="str">
        <f aca="false">INDEX('Pincode Zones'!$C:$C,MATCH('Courier Invoice'!D42&amp;"-"&amp;'Courier Invoice'!E42,'Pincode Zones'!$D:$D,0))</f>
        <v>d</v>
      </c>
      <c r="H42" s="8" t="str">
        <f aca="false">'Courier Invoice'!F42</f>
        <v>d</v>
      </c>
      <c r="I42" s="9" t="n">
        <f aca="false">(INDEX('Courier Rates'!$1:$2,2,MATCH("fwd_"&amp;$G42&amp;"_fixed",'Courier Rates'!$1:$1,0))+INDEX('Courier Rates'!$1:$2,2,MATCH("fwd_"&amp;$G42&amp;"_additional",'Courier Rates'!$1:$1,0))*MAX(0,(D42-0.5)/0.5))+IF(ISNUMBER(SEARCH("rto",'Courier Invoice'!G42)),(INDEX('Courier Rates'!$1:$2,2,MATCH("rto_"&amp;$G42&amp;"_fixed",'Courier Rates'!$1:$1,0))+INDEX('Courier Rates'!$1:$2,2,MATCH("rto_"&amp;$G42&amp;"_additional",'Courier Rates'!$1:$1,0))*MAX(0,(D42-0.5)/0.5)),0)</f>
        <v>45.4</v>
      </c>
      <c r="J42" s="9" t="n">
        <f aca="false">VALUE('Courier Invoice'!H42)</f>
        <v>90.2</v>
      </c>
      <c r="K42" s="9" t="n">
        <f aca="false">ROUND(J42-I42,2)</f>
        <v>44.8</v>
      </c>
    </row>
    <row r="43" customFormat="false" ht="15" hidden="false" customHeight="true" outlineLevel="0" collapsed="false">
      <c r="A43" s="8" t="str">
        <f aca="false">'Courier Invoice'!B43</f>
        <v>2001806547</v>
      </c>
      <c r="B43" s="8" t="str">
        <f aca="false">'Courier Invoice'!A43</f>
        <v>1091117224611</v>
      </c>
      <c r="C43" s="9" t="n">
        <f aca="false">SUMIF('Order Report'!$A:$A,$A43,'Order Report'!$D:$D)/1000</f>
        <v>0.127</v>
      </c>
      <c r="D43" s="9" t="n">
        <f aca="false">CEILING(C43,0.5)</f>
        <v>0.5</v>
      </c>
      <c r="E43" s="9" t="n">
        <f aca="false">VALUE('Courier Invoice'!C43)</f>
        <v>1</v>
      </c>
      <c r="F43" s="9" t="n">
        <f aca="false">CEILING(E43,0.5)</f>
        <v>1</v>
      </c>
      <c r="G43" s="8" t="str">
        <f aca="false">INDEX('Pincode Zones'!$C:$C,MATCH('Courier Invoice'!D43&amp;"-"&amp;'Courier Invoice'!E43,'Pincode Zones'!$D:$D,0))</f>
        <v>b</v>
      </c>
      <c r="H43" s="8" t="str">
        <f aca="false">'Courier Invoice'!F43</f>
        <v>b</v>
      </c>
      <c r="I43" s="9" t="n">
        <f aca="false">(INDEX('Courier Rates'!$1:$2,2,MATCH("fwd_"&amp;$G43&amp;"_fixed",'Courier Rates'!$1:$1,0))+INDEX('Courier Rates'!$1:$2,2,MATCH("fwd_"&amp;$G43&amp;"_additional",'Courier Rates'!$1:$1,0))*MAX(0,(D43-0.5)/0.5))+IF(ISNUMBER(SEARCH("rto",'Courier Invoice'!G43)),(INDEX('Courier Rates'!$1:$2,2,MATCH("rto_"&amp;$G43&amp;"_fixed",'Courier Rates'!$1:$1,0))+INDEX('Courier Rates'!$1:$2,2,MATCH("rto_"&amp;$G43&amp;"_additional",'Courier Rates'!$1:$1,0))*MAX(0,(D43-0.5)/0.5)),0)</f>
        <v>33</v>
      </c>
      <c r="J43" s="9" t="n">
        <f aca="false">VALUE('Courier Invoice'!H43)</f>
        <v>61.3</v>
      </c>
      <c r="K43" s="9" t="n">
        <f aca="false">ROUND(J43-I43,2)</f>
        <v>28.3</v>
      </c>
    </row>
    <row r="44" customFormat="false" ht="15" hidden="false" customHeight="true" outlineLevel="0" collapsed="false">
      <c r="A44" s="8" t="str">
        <f aca="false">'Courier Invoice'!B44</f>
        <v>2001806567</v>
      </c>
      <c r="B44" s="8" t="str">
        <f aca="false">'Courier Invoice'!A44</f>
        <v>1091117224902</v>
      </c>
      <c r="C44" s="9" t="n">
        <f aca="false">SUMIF('Order Report'!$A:$A,$A44,'Order Report'!$D:$D)/1000</f>
        <v>0.952</v>
      </c>
      <c r="D44" s="9" t="n">
        <f aca="false">CEILING(C44,0.5)</f>
        <v>1</v>
      </c>
      <c r="E44" s="9" t="n">
        <f aca="false">VALUE('Courier Invoice'!C44)</f>
        <v>1.16</v>
      </c>
      <c r="F44" s="9" t="n">
        <f aca="false">CEILING(E44,0.5)</f>
        <v>1.5</v>
      </c>
      <c r="G44" s="8" t="str">
        <f aca="false">INDEX('Pincode Zones'!$C:$C,MATCH('Courier Invoice'!D44&amp;"-"&amp;'Courier Invoice'!E44,'Pincode Zones'!$D:$D,0))</f>
        <v>d</v>
      </c>
      <c r="H44" s="8" t="str">
        <f aca="false">'Courier Invoice'!F44</f>
        <v>d</v>
      </c>
      <c r="I44" s="9" t="n">
        <f aca="false">(INDEX('Courier Rates'!$1:$2,2,MATCH("fwd_"&amp;$G44&amp;"_fixed",'Courier Rates'!$1:$1,0))+INDEX('Courier Rates'!$1:$2,2,MATCH("fwd_"&amp;$G44&amp;"_additional",'Courier Rates'!$1:$1,0))*MAX(0,(D44-0.5)/0.5))+IF(ISNUMBER(SEARCH("rto",'Courier Invoice'!G44)),(INDEX('Courier Rates'!$1:$2,2,MATCH("rto_"&amp;$G44&amp;"_fixed",'Courier Rates'!$1:$1,0))+INDEX('Courier Rates'!$1:$2,2,MATCH("rto_"&amp;$G44&amp;"_additional",'Courier Rates'!$1:$1,0))*MAX(0,(D44-0.5)/0.5)),0)</f>
        <v>90.2</v>
      </c>
      <c r="J44" s="9" t="n">
        <f aca="false">VALUE('Courier Invoice'!H44)</f>
        <v>135</v>
      </c>
      <c r="K44" s="9" t="n">
        <f aca="false">ROUND(J44-I44,2)</f>
        <v>44.8</v>
      </c>
    </row>
    <row r="45" customFormat="false" ht="15" hidden="false" customHeight="true" outlineLevel="0" collapsed="false">
      <c r="A45" s="8" t="str">
        <f aca="false">'Courier Invoice'!B45</f>
        <v>2001806575</v>
      </c>
      <c r="B45" s="8" t="str">
        <f aca="false">'Courier Invoice'!A45</f>
        <v>1091117225016</v>
      </c>
      <c r="C45" s="9" t="n">
        <f aca="false">SUMIF('Order Report'!$A:$A,$A45,'Order Report'!$D:$D)/1000</f>
        <v>0.5</v>
      </c>
      <c r="D45" s="9" t="n">
        <f aca="false">CEILING(C45,0.5)</f>
        <v>0.5</v>
      </c>
      <c r="E45" s="9" t="n">
        <f aca="false">VALUE('Courier Invoice'!C45)</f>
        <v>0.68</v>
      </c>
      <c r="F45" s="9" t="n">
        <f aca="false">CEILING(E45,0.5)</f>
        <v>1</v>
      </c>
      <c r="G45" s="8" t="str">
        <f aca="false">INDEX('Pincode Zones'!$C:$C,MATCH('Courier Invoice'!D45&amp;"-"&amp;'Courier Invoice'!E45,'Pincode Zones'!$D:$D,0))</f>
        <v>b</v>
      </c>
      <c r="H45" s="8" t="str">
        <f aca="false">'Courier Invoice'!F45</f>
        <v>b</v>
      </c>
      <c r="I45" s="9" t="n">
        <f aca="false">(INDEX('Courier Rates'!$1:$2,2,MATCH("fwd_"&amp;$G45&amp;"_fixed",'Courier Rates'!$1:$1,0))+INDEX('Courier Rates'!$1:$2,2,MATCH("fwd_"&amp;$G45&amp;"_additional",'Courier Rates'!$1:$1,0))*MAX(0,(D45-0.5)/0.5))+IF(ISNUMBER(SEARCH("rto",'Courier Invoice'!G45)),(INDEX('Courier Rates'!$1:$2,2,MATCH("rto_"&amp;$G45&amp;"_fixed",'Courier Rates'!$1:$1,0))+INDEX('Courier Rates'!$1:$2,2,MATCH("rto_"&amp;$G45&amp;"_additional",'Courier Rates'!$1:$1,0))*MAX(0,(D45-0.5)/0.5)),0)</f>
        <v>33</v>
      </c>
      <c r="J45" s="9" t="n">
        <f aca="false">VALUE('Courier Invoice'!H45)</f>
        <v>61.3</v>
      </c>
      <c r="K45" s="9" t="n">
        <f aca="false">ROUND(J45-I45,2)</f>
        <v>28.3</v>
      </c>
    </row>
    <row r="46" customFormat="false" ht="15" hidden="false" customHeight="true" outlineLevel="0" collapsed="false">
      <c r="A46" s="8" t="str">
        <f aca="false">'Courier Invoice'!B46</f>
        <v>2001806616</v>
      </c>
      <c r="B46" s="8" t="str">
        <f aca="false">'Courier Invoice'!A46</f>
        <v>1091117225484</v>
      </c>
      <c r="C46" s="9" t="n">
        <f aca="false">SUMIF('Order Report'!$A:$A,$A46,'Order Report'!$D:$D)/1000</f>
        <v>0.963</v>
      </c>
      <c r="D46" s="9" t="n">
        <f aca="false">CEILING(C46,0.5)</f>
        <v>1</v>
      </c>
      <c r="E46" s="9" t="n">
        <f aca="false">VALUE('Courier Invoice'!C46)</f>
        <v>1.08</v>
      </c>
      <c r="F46" s="9" t="n">
        <f aca="false">CEILING(E46,0.5)</f>
        <v>1.5</v>
      </c>
      <c r="G46" s="8" t="str">
        <f aca="false">INDEX('Pincode Zones'!$C:$C,MATCH('Courier Invoice'!D46&amp;"-"&amp;'Courier Invoice'!E46,'Pincode Zones'!$D:$D,0))</f>
        <v>b</v>
      </c>
      <c r="H46" s="8" t="str">
        <f aca="false">'Courier Invoice'!F46</f>
        <v>b</v>
      </c>
      <c r="I46" s="9" t="n">
        <f aca="false">(INDEX('Courier Rates'!$1:$2,2,MATCH("fwd_"&amp;$G46&amp;"_fixed",'Courier Rates'!$1:$1,0))+INDEX('Courier Rates'!$1:$2,2,MATCH("fwd_"&amp;$G46&amp;"_additional",'Courier Rates'!$1:$1,0))*MAX(0,(D46-0.5)/0.5))+IF(ISNUMBER(SEARCH("rto",'Courier Invoice'!G46)),(INDEX('Courier Rates'!$1:$2,2,MATCH("rto_"&amp;$G46&amp;"_fixed",'Courier Rates'!$1:$1,0))+INDEX('Courier Rates'!$1:$2,2,MATCH("rto_"&amp;$G46&amp;"_additional",'Courier Rates'!$1:$1,0))*MAX(0,(D46-0.5)/0.5)),0)</f>
        <v>61.3</v>
      </c>
      <c r="J46" s="9" t="n">
        <f aca="false">VALUE('Courier Invoice'!H46)</f>
        <v>89.6</v>
      </c>
      <c r="K46" s="9" t="n">
        <f aca="false">ROUND(J46-I46,2)</f>
        <v>28.3</v>
      </c>
    </row>
    <row r="47" customFormat="false" ht="15" hidden="false" customHeight="true" outlineLevel="0" collapsed="false">
      <c r="A47" s="8" t="str">
        <f aca="false">'Courier Invoice'!B47</f>
        <v>2001806652</v>
      </c>
      <c r="B47" s="8" t="str">
        <f aca="false">'Courier Invoice'!A47</f>
        <v>1091117226221</v>
      </c>
      <c r="C47" s="9" t="n">
        <f aca="false">SUMIF('Order Report'!$A:$A,$A47,'Order Report'!$D:$D)/1000</f>
        <v>0.5</v>
      </c>
      <c r="D47" s="9" t="n">
        <f aca="false">CEILING(C47,0.5)</f>
        <v>0.5</v>
      </c>
      <c r="E47" s="9" t="n">
        <f aca="false">VALUE('Courier Invoice'!C47)</f>
        <v>0.69</v>
      </c>
      <c r="F47" s="9" t="n">
        <f aca="false">CEILING(E47,0.5)</f>
        <v>1</v>
      </c>
      <c r="G47" s="8" t="str">
        <f aca="false">INDEX('Pincode Zones'!$C:$C,MATCH('Courier Invoice'!D47&amp;"-"&amp;'Courier Invoice'!E47,'Pincode Zones'!$D:$D,0))</f>
        <v>d</v>
      </c>
      <c r="H47" s="8" t="str">
        <f aca="false">'Courier Invoice'!F47</f>
        <v>d</v>
      </c>
      <c r="I47" s="9" t="n">
        <f aca="false">(INDEX('Courier Rates'!$1:$2,2,MATCH("fwd_"&amp;$G47&amp;"_fixed",'Courier Rates'!$1:$1,0))+INDEX('Courier Rates'!$1:$2,2,MATCH("fwd_"&amp;$G47&amp;"_additional",'Courier Rates'!$1:$1,0))*MAX(0,(D47-0.5)/0.5))+IF(ISNUMBER(SEARCH("rto",'Courier Invoice'!G47)),(INDEX('Courier Rates'!$1:$2,2,MATCH("rto_"&amp;$G47&amp;"_fixed",'Courier Rates'!$1:$1,0))+INDEX('Courier Rates'!$1:$2,2,MATCH("rto_"&amp;$G47&amp;"_additional",'Courier Rates'!$1:$1,0))*MAX(0,(D47-0.5)/0.5)),0)</f>
        <v>45.4</v>
      </c>
      <c r="J47" s="9" t="n">
        <f aca="false">VALUE('Courier Invoice'!H47)</f>
        <v>90.2</v>
      </c>
      <c r="K47" s="9" t="n">
        <f aca="false">ROUND(J47-I47,2)</f>
        <v>44.8</v>
      </c>
    </row>
    <row r="48" customFormat="false" ht="15" hidden="false" customHeight="true" outlineLevel="0" collapsed="false">
      <c r="A48" s="8" t="str">
        <f aca="false">'Courier Invoice'!B48</f>
        <v>2001806733</v>
      </c>
      <c r="B48" s="8" t="str">
        <f aca="false">'Courier Invoice'!A48</f>
        <v>1091117226674</v>
      </c>
      <c r="C48" s="9" t="n">
        <f aca="false">SUMIF('Order Report'!$A:$A,$A48,'Order Report'!$D:$D)/1000</f>
        <v>0.967</v>
      </c>
      <c r="D48" s="9" t="n">
        <f aca="false">CEILING(C48,0.5)</f>
        <v>1</v>
      </c>
      <c r="E48" s="9" t="n">
        <f aca="false">VALUE('Courier Invoice'!C48)</f>
        <v>1.13</v>
      </c>
      <c r="F48" s="9" t="n">
        <f aca="false">CEILING(E48,0.5)</f>
        <v>1.5</v>
      </c>
      <c r="G48" s="8" t="str">
        <f aca="false">INDEX('Pincode Zones'!$C:$C,MATCH('Courier Invoice'!D48&amp;"-"&amp;'Courier Invoice'!E48,'Pincode Zones'!$D:$D,0))</f>
        <v>d</v>
      </c>
      <c r="H48" s="8" t="str">
        <f aca="false">'Courier Invoice'!F48</f>
        <v>d</v>
      </c>
      <c r="I48" s="9" t="n">
        <f aca="false">(INDEX('Courier Rates'!$1:$2,2,MATCH("fwd_"&amp;$G48&amp;"_fixed",'Courier Rates'!$1:$1,0))+INDEX('Courier Rates'!$1:$2,2,MATCH("fwd_"&amp;$G48&amp;"_additional",'Courier Rates'!$1:$1,0))*MAX(0,(D48-0.5)/0.5))+IF(ISNUMBER(SEARCH("rto",'Courier Invoice'!G48)),(INDEX('Courier Rates'!$1:$2,2,MATCH("rto_"&amp;$G48&amp;"_fixed",'Courier Rates'!$1:$1,0))+INDEX('Courier Rates'!$1:$2,2,MATCH("rto_"&amp;$G48&amp;"_additional",'Courier Rates'!$1:$1,0))*MAX(0,(D48-0.5)/0.5)),0)</f>
        <v>90.2</v>
      </c>
      <c r="J48" s="9" t="n">
        <f aca="false">VALUE('Courier Invoice'!H48)</f>
        <v>135</v>
      </c>
      <c r="K48" s="9" t="n">
        <f aca="false">ROUND(J48-I48,2)</f>
        <v>44.8</v>
      </c>
    </row>
    <row r="49" customFormat="false" ht="15" hidden="false" customHeight="true" outlineLevel="0" collapsed="false">
      <c r="A49" s="8" t="str">
        <f aca="false">'Courier Invoice'!B49</f>
        <v>2001806735</v>
      </c>
      <c r="B49" s="8" t="str">
        <f aca="false">'Courier Invoice'!A49</f>
        <v>1091117226711</v>
      </c>
      <c r="C49" s="9" t="n">
        <f aca="false">SUMIF('Order Report'!$A:$A,$A49,'Order Report'!$D:$D)/1000</f>
        <v>0.5</v>
      </c>
      <c r="D49" s="9" t="n">
        <f aca="false">CEILING(C49,0.5)</f>
        <v>0.5</v>
      </c>
      <c r="E49" s="9" t="n">
        <f aca="false">VALUE('Courier Invoice'!C49)</f>
        <v>0.69</v>
      </c>
      <c r="F49" s="9" t="n">
        <f aca="false">CEILING(E49,0.5)</f>
        <v>1</v>
      </c>
      <c r="G49" s="8" t="str">
        <f aca="false">INDEX('Pincode Zones'!$C:$C,MATCH('Courier Invoice'!D49&amp;"-"&amp;'Courier Invoice'!E49,'Pincode Zones'!$D:$D,0))</f>
        <v>d</v>
      </c>
      <c r="H49" s="8" t="str">
        <f aca="false">'Courier Invoice'!F49</f>
        <v>d</v>
      </c>
      <c r="I49" s="9" t="n">
        <f aca="false">(INDEX('Courier Rates'!$1:$2,2,MATCH("fwd_"&amp;$G49&amp;"_fixed",'Courier Rates'!$1:$1,0))+INDEX('Courier Rates'!$1:$2,2,MATCH("fwd_"&amp;$G49&amp;"_additional",'Courier Rates'!$1:$1,0))*MAX(0,(D49-0.5)/0.5))+IF(ISNUMBER(SEARCH("rto",'Courier Invoice'!G49)),(INDEX('Courier Rates'!$1:$2,2,MATCH("rto_"&amp;$G49&amp;"_fixed",'Courier Rates'!$1:$1,0))+INDEX('Courier Rates'!$1:$2,2,MATCH("rto_"&amp;$G49&amp;"_additional",'Courier Rates'!$1:$1,0))*MAX(0,(D49-0.5)/0.5)),0)</f>
        <v>45.4</v>
      </c>
      <c r="J49" s="9" t="n">
        <f aca="false">VALUE('Courier Invoice'!H49)</f>
        <v>90.2</v>
      </c>
      <c r="K49" s="9" t="n">
        <f aca="false">ROUND(J49-I49,2)</f>
        <v>44.8</v>
      </c>
    </row>
    <row r="50" customFormat="false" ht="15" hidden="false" customHeight="true" outlineLevel="0" collapsed="false">
      <c r="A50" s="8" t="str">
        <f aca="false">'Courier Invoice'!B50</f>
        <v>2001806726</v>
      </c>
      <c r="B50" s="8" t="str">
        <f aca="false">'Courier Invoice'!A50</f>
        <v>1091117226910</v>
      </c>
      <c r="C50" s="9" t="n">
        <f aca="false">SUMIF('Order Report'!$A:$A,$A50,'Order Report'!$D:$D)/1000</f>
        <v>0.5</v>
      </c>
      <c r="D50" s="9" t="n">
        <f aca="false">CEILING(C50,0.5)</f>
        <v>0.5</v>
      </c>
      <c r="E50" s="9" t="n">
        <f aca="false">VALUE('Courier Invoice'!C50)</f>
        <v>0.68</v>
      </c>
      <c r="F50" s="9" t="n">
        <f aca="false">CEILING(E50,0.5)</f>
        <v>1</v>
      </c>
      <c r="G50" s="8" t="str">
        <f aca="false">INDEX('Pincode Zones'!$C:$C,MATCH('Courier Invoice'!D50&amp;"-"&amp;'Courier Invoice'!E50,'Pincode Zones'!$D:$D,0))</f>
        <v>d</v>
      </c>
      <c r="H50" s="8" t="str">
        <f aca="false">'Courier Invoice'!F50</f>
        <v>d</v>
      </c>
      <c r="I50" s="9" t="n">
        <f aca="false">(INDEX('Courier Rates'!$1:$2,2,MATCH("fwd_"&amp;$G50&amp;"_fixed",'Courier Rates'!$1:$1,0))+INDEX('Courier Rates'!$1:$2,2,MATCH("fwd_"&amp;$G50&amp;"_additional",'Courier Rates'!$1:$1,0))*MAX(0,(D50-0.5)/0.5))+IF(ISNUMBER(SEARCH("rto",'Courier Invoice'!G50)),(INDEX('Courier Rates'!$1:$2,2,MATCH("rto_"&amp;$G50&amp;"_fixed",'Courier Rates'!$1:$1,0))+INDEX('Courier Rates'!$1:$2,2,MATCH("rto_"&amp;$G50&amp;"_additional",'Courier Rates'!$1:$1,0))*MAX(0,(D50-0.5)/0.5)),0)</f>
        <v>45.4</v>
      </c>
      <c r="J50" s="9" t="n">
        <f aca="false">VALUE('Courier Invoice'!H50)</f>
        <v>90.2</v>
      </c>
      <c r="K50" s="9" t="n">
        <f aca="false">ROUND(J50-I50,2)</f>
        <v>44.8</v>
      </c>
    </row>
    <row r="51" customFormat="false" ht="15" hidden="false" customHeight="true" outlineLevel="0" collapsed="false">
      <c r="A51" s="8" t="str">
        <f aca="false">'Courier Invoice'!B51</f>
        <v>2001806776</v>
      </c>
      <c r="B51" s="8" t="str">
        <f aca="false">'Courier Invoice'!A51</f>
        <v>1091117227573</v>
      </c>
      <c r="C51" s="9" t="n">
        <f aca="false">SUMIF('Order Report'!$A:$A,$A51,'Order Report'!$D:$D)/1000</f>
        <v>0.611</v>
      </c>
      <c r="D51" s="9" t="n">
        <f aca="false">CEILING(C51,0.5)</f>
        <v>1</v>
      </c>
      <c r="E51" s="9" t="n">
        <f aca="false">VALUE('Courier Invoice'!C51)</f>
        <v>2.86</v>
      </c>
      <c r="F51" s="9" t="n">
        <f aca="false">CEILING(E51,0.5)</f>
        <v>3</v>
      </c>
      <c r="G51" s="8" t="str">
        <f aca="false">INDEX('Pincode Zones'!$C:$C,MATCH('Courier Invoice'!D51&amp;"-"&amp;'Courier Invoice'!E51,'Pincode Zones'!$D:$D,0))</f>
        <v>b</v>
      </c>
      <c r="H51" s="8" t="str">
        <f aca="false">'Courier Invoice'!F51</f>
        <v>b</v>
      </c>
      <c r="I51" s="9" t="n">
        <f aca="false">(INDEX('Courier Rates'!$1:$2,2,MATCH("fwd_"&amp;$G51&amp;"_fixed",'Courier Rates'!$1:$1,0))+INDEX('Courier Rates'!$1:$2,2,MATCH("fwd_"&amp;$G51&amp;"_additional",'Courier Rates'!$1:$1,0))*MAX(0,(D51-0.5)/0.5))+IF(ISNUMBER(SEARCH("rto",'Courier Invoice'!G51)),(INDEX('Courier Rates'!$1:$2,2,MATCH("rto_"&amp;$G51&amp;"_fixed",'Courier Rates'!$1:$1,0))+INDEX('Courier Rates'!$1:$2,2,MATCH("rto_"&amp;$G51&amp;"_additional",'Courier Rates'!$1:$1,0))*MAX(0,(D51-0.5)/0.5)),0)</f>
        <v>61.3</v>
      </c>
      <c r="J51" s="9" t="n">
        <f aca="false">VALUE('Courier Invoice'!H51)</f>
        <v>174.5</v>
      </c>
      <c r="K51" s="9" t="n">
        <f aca="false">ROUND(J51-I51,2)</f>
        <v>113.2</v>
      </c>
    </row>
    <row r="52" customFormat="false" ht="15" hidden="false" customHeight="true" outlineLevel="0" collapsed="false">
      <c r="A52" s="8" t="str">
        <f aca="false">'Courier Invoice'!B52</f>
        <v>2001806801</v>
      </c>
      <c r="B52" s="8" t="str">
        <f aca="false">'Courier Invoice'!A52</f>
        <v>1091117227816</v>
      </c>
      <c r="C52" s="9" t="n">
        <f aca="false">SUMIF('Order Report'!$A:$A,$A52,'Order Report'!$D:$D)/1000</f>
        <v>0.361</v>
      </c>
      <c r="D52" s="9" t="n">
        <f aca="false">CEILING(C52,0.5)</f>
        <v>0.5</v>
      </c>
      <c r="E52" s="9" t="n">
        <f aca="false">VALUE('Courier Invoice'!C52)</f>
        <v>1.35</v>
      </c>
      <c r="F52" s="9" t="n">
        <f aca="false">CEILING(E52,0.5)</f>
        <v>1.5</v>
      </c>
      <c r="G52" s="8" t="str">
        <f aca="false">INDEX('Pincode Zones'!$C:$C,MATCH('Courier Invoice'!D52&amp;"-"&amp;'Courier Invoice'!E52,'Pincode Zones'!$D:$D,0))</f>
        <v>b</v>
      </c>
      <c r="H52" s="8" t="str">
        <f aca="false">'Courier Invoice'!F52</f>
        <v>b</v>
      </c>
      <c r="I52" s="9" t="n">
        <f aca="false">(INDEX('Courier Rates'!$1:$2,2,MATCH("fwd_"&amp;$G52&amp;"_fixed",'Courier Rates'!$1:$1,0))+INDEX('Courier Rates'!$1:$2,2,MATCH("fwd_"&amp;$G52&amp;"_additional",'Courier Rates'!$1:$1,0))*MAX(0,(D52-0.5)/0.5))+IF(ISNUMBER(SEARCH("rto",'Courier Invoice'!G52)),(INDEX('Courier Rates'!$1:$2,2,MATCH("rto_"&amp;$G52&amp;"_fixed",'Courier Rates'!$1:$1,0))+INDEX('Courier Rates'!$1:$2,2,MATCH("rto_"&amp;$G52&amp;"_additional",'Courier Rates'!$1:$1,0))*MAX(0,(D52-0.5)/0.5)),0)</f>
        <v>33</v>
      </c>
      <c r="J52" s="9" t="n">
        <f aca="false">VALUE('Courier Invoice'!H52)</f>
        <v>89.6</v>
      </c>
      <c r="K52" s="9" t="n">
        <f aca="false">ROUND(J52-I52,2)</f>
        <v>56.6</v>
      </c>
    </row>
    <row r="53" customFormat="false" ht="15" hidden="false" customHeight="true" outlineLevel="0" collapsed="false">
      <c r="A53" s="8" t="str">
        <f aca="false">'Courier Invoice'!B53</f>
        <v>2001807004</v>
      </c>
      <c r="B53" s="8" t="str">
        <f aca="false">'Courier Invoice'!A53</f>
        <v>1091117229290</v>
      </c>
      <c r="C53" s="9" t="n">
        <f aca="false">SUMIF('Order Report'!$A:$A,$A53,'Order Report'!$D:$D)/1000</f>
        <v>0.5</v>
      </c>
      <c r="D53" s="9" t="n">
        <f aca="false">CEILING(C53,0.5)</f>
        <v>0.5</v>
      </c>
      <c r="E53" s="9" t="n">
        <f aca="false">VALUE('Courier Invoice'!C53)</f>
        <v>0.68</v>
      </c>
      <c r="F53" s="9" t="n">
        <f aca="false">CEILING(E53,0.5)</f>
        <v>1</v>
      </c>
      <c r="G53" s="8" t="str">
        <f aca="false">INDEX('Pincode Zones'!$C:$C,MATCH('Courier Invoice'!D53&amp;"-"&amp;'Courier Invoice'!E53,'Pincode Zones'!$D:$D,0))</f>
        <v>d</v>
      </c>
      <c r="H53" s="8" t="str">
        <f aca="false">'Courier Invoice'!F53</f>
        <v>d</v>
      </c>
      <c r="I53" s="9" t="n">
        <f aca="false">(INDEX('Courier Rates'!$1:$2,2,MATCH("fwd_"&amp;$G53&amp;"_fixed",'Courier Rates'!$1:$1,0))+INDEX('Courier Rates'!$1:$2,2,MATCH("fwd_"&amp;$G53&amp;"_additional",'Courier Rates'!$1:$1,0))*MAX(0,(D53-0.5)/0.5))+IF(ISNUMBER(SEARCH("rto",'Courier Invoice'!G53)),(INDEX('Courier Rates'!$1:$2,2,MATCH("rto_"&amp;$G53&amp;"_fixed",'Courier Rates'!$1:$1,0))+INDEX('Courier Rates'!$1:$2,2,MATCH("rto_"&amp;$G53&amp;"_additional",'Courier Rates'!$1:$1,0))*MAX(0,(D53-0.5)/0.5)),0)</f>
        <v>45.4</v>
      </c>
      <c r="J53" s="9" t="n">
        <f aca="false">VALUE('Courier Invoice'!H53)</f>
        <v>90.2</v>
      </c>
      <c r="K53" s="9" t="n">
        <f aca="false">ROUND(J53-I53,2)</f>
        <v>44.8</v>
      </c>
    </row>
    <row r="54" customFormat="false" ht="15" hidden="false" customHeight="true" outlineLevel="0" collapsed="false">
      <c r="A54" s="8" t="str">
        <f aca="false">'Courier Invoice'!B54</f>
        <v>2001807036</v>
      </c>
      <c r="B54" s="8" t="str">
        <f aca="false">'Courier Invoice'!A54</f>
        <v>1091117323005</v>
      </c>
      <c r="C54" s="9" t="n">
        <f aca="false">SUMIF('Order Report'!$A:$A,$A54,'Order Report'!$D:$D)/1000</f>
        <v>1.459</v>
      </c>
      <c r="D54" s="9" t="n">
        <f aca="false">CEILING(C54,0.5)</f>
        <v>1.5</v>
      </c>
      <c r="E54" s="9" t="n">
        <f aca="false">VALUE('Courier Invoice'!C54)</f>
        <v>1.64</v>
      </c>
      <c r="F54" s="9" t="n">
        <f aca="false">CEILING(E54,0.5)</f>
        <v>2</v>
      </c>
      <c r="G54" s="8" t="str">
        <f aca="false">INDEX('Pincode Zones'!$C:$C,MATCH('Courier Invoice'!D54&amp;"-"&amp;'Courier Invoice'!E54,'Pincode Zones'!$D:$D,0))</f>
        <v>d</v>
      </c>
      <c r="H54" s="8" t="str">
        <f aca="false">'Courier Invoice'!F54</f>
        <v>d</v>
      </c>
      <c r="I54" s="9" t="n">
        <f aca="false">(INDEX('Courier Rates'!$1:$2,2,MATCH("fwd_"&amp;$G54&amp;"_fixed",'Courier Rates'!$1:$1,0))+INDEX('Courier Rates'!$1:$2,2,MATCH("fwd_"&amp;$G54&amp;"_additional",'Courier Rates'!$1:$1,0))*MAX(0,(D54-0.5)/0.5))+IF(ISNUMBER(SEARCH("rto",'Courier Invoice'!G54)),(INDEX('Courier Rates'!$1:$2,2,MATCH("rto_"&amp;$G54&amp;"_fixed",'Courier Rates'!$1:$1,0))+INDEX('Courier Rates'!$1:$2,2,MATCH("rto_"&amp;$G54&amp;"_additional",'Courier Rates'!$1:$1,0))*MAX(0,(D54-0.5)/0.5)),0)</f>
        <v>135</v>
      </c>
      <c r="J54" s="9" t="n">
        <f aca="false">VALUE('Courier Invoice'!H54)</f>
        <v>179.8</v>
      </c>
      <c r="K54" s="9" t="n">
        <f aca="false">ROUND(J54-I54,2)</f>
        <v>44.8</v>
      </c>
    </row>
    <row r="55" customFormat="false" ht="15" hidden="false" customHeight="true" outlineLevel="0" collapsed="false">
      <c r="A55" s="8" t="str">
        <f aca="false">'Courier Invoice'!B55</f>
        <v>2001807084</v>
      </c>
      <c r="B55" s="8" t="str">
        <f aca="false">'Courier Invoice'!A55</f>
        <v>1091117323215</v>
      </c>
      <c r="C55" s="9" t="n">
        <f aca="false">SUMIF('Order Report'!$A:$A,$A55,'Order Report'!$D:$D)/1000</f>
        <v>0.5</v>
      </c>
      <c r="D55" s="9" t="n">
        <f aca="false">CEILING(C55,0.5)</f>
        <v>0.5</v>
      </c>
      <c r="E55" s="9" t="n">
        <f aca="false">VALUE('Courier Invoice'!C55)</f>
        <v>0.67</v>
      </c>
      <c r="F55" s="9" t="n">
        <f aca="false">CEILING(E55,0.5)</f>
        <v>1</v>
      </c>
      <c r="G55" s="8" t="str">
        <f aca="false">INDEX('Pincode Zones'!$C:$C,MATCH('Courier Invoice'!D55&amp;"-"&amp;'Courier Invoice'!E55,'Pincode Zones'!$D:$D,0))</f>
        <v>d</v>
      </c>
      <c r="H55" s="8" t="str">
        <f aca="false">'Courier Invoice'!F55</f>
        <v>d</v>
      </c>
      <c r="I55" s="9" t="n">
        <f aca="false">(INDEX('Courier Rates'!$1:$2,2,MATCH("fwd_"&amp;$G55&amp;"_fixed",'Courier Rates'!$1:$1,0))+INDEX('Courier Rates'!$1:$2,2,MATCH("fwd_"&amp;$G55&amp;"_additional",'Courier Rates'!$1:$1,0))*MAX(0,(D55-0.5)/0.5))+IF(ISNUMBER(SEARCH("rto",'Courier Invoice'!G55)),(INDEX('Courier Rates'!$1:$2,2,MATCH("rto_"&amp;$G55&amp;"_fixed",'Courier Rates'!$1:$1,0))+INDEX('Courier Rates'!$1:$2,2,MATCH("rto_"&amp;$G55&amp;"_additional",'Courier Rates'!$1:$1,0))*MAX(0,(D55-0.5)/0.5)),0)</f>
        <v>45.4</v>
      </c>
      <c r="J55" s="9" t="n">
        <f aca="false">VALUE('Courier Invoice'!H55)</f>
        <v>90.2</v>
      </c>
      <c r="K55" s="9" t="n">
        <f aca="false">ROUND(J55-I55,2)</f>
        <v>44.8</v>
      </c>
    </row>
    <row r="56" customFormat="false" ht="15" hidden="false" customHeight="true" outlineLevel="0" collapsed="false">
      <c r="A56" s="8" t="str">
        <f aca="false">'Courier Invoice'!B56</f>
        <v>2001807362</v>
      </c>
      <c r="B56" s="8" t="str">
        <f aca="false">'Courier Invoice'!A56</f>
        <v>1091117324394</v>
      </c>
      <c r="C56" s="9" t="n">
        <f aca="false">SUMIF('Order Report'!$A:$A,$A56,'Order Report'!$D:$D)/1000</f>
        <v>2.016</v>
      </c>
      <c r="D56" s="9" t="n">
        <f aca="false">CEILING(C56,0.5)</f>
        <v>2.5</v>
      </c>
      <c r="E56" s="9" t="n">
        <f aca="false">VALUE('Courier Invoice'!C56)</f>
        <v>2</v>
      </c>
      <c r="F56" s="9" t="n">
        <f aca="false">CEILING(E56,0.5)</f>
        <v>2</v>
      </c>
      <c r="G56" s="8" t="str">
        <f aca="false">INDEX('Pincode Zones'!$C:$C,MATCH('Courier Invoice'!D56&amp;"-"&amp;'Courier Invoice'!E56,'Pincode Zones'!$D:$D,0))</f>
        <v>d</v>
      </c>
      <c r="H56" s="8" t="str">
        <f aca="false">'Courier Invoice'!F56</f>
        <v>d</v>
      </c>
      <c r="I56" s="9" t="n">
        <f aca="false">(INDEX('Courier Rates'!$1:$2,2,MATCH("fwd_"&amp;$G56&amp;"_fixed",'Courier Rates'!$1:$1,0))+INDEX('Courier Rates'!$1:$2,2,MATCH("fwd_"&amp;$G56&amp;"_additional",'Courier Rates'!$1:$1,0))*MAX(0,(D56-0.5)/0.5))+IF(ISNUMBER(SEARCH("rto",'Courier Invoice'!G56)),(INDEX('Courier Rates'!$1:$2,2,MATCH("rto_"&amp;$G56&amp;"_fixed",'Courier Rates'!$1:$1,0))+INDEX('Courier Rates'!$1:$2,2,MATCH("rto_"&amp;$G56&amp;"_additional",'Courier Rates'!$1:$1,0))*MAX(0,(D56-0.5)/0.5)),0)</f>
        <v>224.6</v>
      </c>
      <c r="J56" s="9" t="n">
        <f aca="false">VALUE('Courier Invoice'!H56)</f>
        <v>179.8</v>
      </c>
      <c r="K56" s="9" t="n">
        <f aca="false">ROUND(J56-I56,2)</f>
        <v>-44.8</v>
      </c>
    </row>
    <row r="57" customFormat="false" ht="15" hidden="false" customHeight="true" outlineLevel="0" collapsed="false">
      <c r="A57" s="8" t="str">
        <f aca="false">'Courier Invoice'!B57</f>
        <v>2001807415</v>
      </c>
      <c r="B57" s="8" t="str">
        <f aca="false">'Courier Invoice'!A57</f>
        <v>1091117325094</v>
      </c>
      <c r="C57" s="9" t="n">
        <f aca="false">SUMIF('Order Report'!$A:$A,$A57,'Order Report'!$D:$D)/1000</f>
        <v>1.048</v>
      </c>
      <c r="D57" s="9" t="n">
        <f aca="false">CEILING(C57,0.5)</f>
        <v>1.5</v>
      </c>
      <c r="E57" s="9" t="n">
        <f aca="false">VALUE('Courier Invoice'!C57)</f>
        <v>1</v>
      </c>
      <c r="F57" s="9" t="n">
        <f aca="false">CEILING(E57,0.5)</f>
        <v>1</v>
      </c>
      <c r="G57" s="8" t="str">
        <f aca="false">INDEX('Pincode Zones'!$C:$C,MATCH('Courier Invoice'!D57&amp;"-"&amp;'Courier Invoice'!E57,'Pincode Zones'!$D:$D,0))</f>
        <v>b</v>
      </c>
      <c r="H57" s="8" t="str">
        <f aca="false">'Courier Invoice'!F57</f>
        <v>b</v>
      </c>
      <c r="I57" s="9" t="n">
        <f aca="false">(INDEX('Courier Rates'!$1:$2,2,MATCH("fwd_"&amp;$G57&amp;"_fixed",'Courier Rates'!$1:$1,0))+INDEX('Courier Rates'!$1:$2,2,MATCH("fwd_"&amp;$G57&amp;"_additional",'Courier Rates'!$1:$1,0))*MAX(0,(D57-0.5)/0.5))+IF(ISNUMBER(SEARCH("rto",'Courier Invoice'!G57)),(INDEX('Courier Rates'!$1:$2,2,MATCH("rto_"&amp;$G57&amp;"_fixed",'Courier Rates'!$1:$1,0))+INDEX('Courier Rates'!$1:$2,2,MATCH("rto_"&amp;$G57&amp;"_additional",'Courier Rates'!$1:$1,0))*MAX(0,(D57-0.5)/0.5)),0)</f>
        <v>89.6</v>
      </c>
      <c r="J57" s="9" t="n">
        <f aca="false">VALUE('Courier Invoice'!H57)</f>
        <v>61.3</v>
      </c>
      <c r="K57" s="9" t="n">
        <f aca="false">ROUND(J57-I57,2)</f>
        <v>-28.3</v>
      </c>
    </row>
    <row r="58" customFormat="false" ht="15" hidden="false" customHeight="true" outlineLevel="0" collapsed="false">
      <c r="A58" s="8" t="str">
        <f aca="false">'Courier Invoice'!B58</f>
        <v>2001809592</v>
      </c>
      <c r="B58" s="8" t="str">
        <f aca="false">'Courier Invoice'!A58</f>
        <v>1091117616121</v>
      </c>
      <c r="C58" s="9" t="n">
        <f aca="false">SUMIF('Order Report'!$A:$A,$A58,'Order Report'!$D:$D)/1000</f>
        <v>1.505</v>
      </c>
      <c r="D58" s="9" t="n">
        <f aca="false">CEILING(C58,0.5)</f>
        <v>2</v>
      </c>
      <c r="E58" s="9" t="n">
        <f aca="false">VALUE('Courier Invoice'!C58)</f>
        <v>1.5</v>
      </c>
      <c r="F58" s="9" t="n">
        <f aca="false">CEILING(E58,0.5)</f>
        <v>1.5</v>
      </c>
      <c r="G58" s="8" t="str">
        <f aca="false">INDEX('Pincode Zones'!$C:$C,MATCH('Courier Invoice'!D58&amp;"-"&amp;'Courier Invoice'!E58,'Pincode Zones'!$D:$D,0))</f>
        <v>b</v>
      </c>
      <c r="H58" s="8" t="str">
        <f aca="false">'Courier Invoice'!F58</f>
        <v>b</v>
      </c>
      <c r="I58" s="9" t="n">
        <f aca="false">(INDEX('Courier Rates'!$1:$2,2,MATCH("fwd_"&amp;$G58&amp;"_fixed",'Courier Rates'!$1:$1,0))+INDEX('Courier Rates'!$1:$2,2,MATCH("fwd_"&amp;$G58&amp;"_additional",'Courier Rates'!$1:$1,0))*MAX(0,(D58-0.5)/0.5))+IF(ISNUMBER(SEARCH("rto",'Courier Invoice'!G58)),(INDEX('Courier Rates'!$1:$2,2,MATCH("rto_"&amp;$G58&amp;"_fixed",'Courier Rates'!$1:$1,0))+INDEX('Courier Rates'!$1:$2,2,MATCH("rto_"&amp;$G58&amp;"_additional",'Courier Rates'!$1:$1,0))*MAX(0,(D58-0.5)/0.5)),0)</f>
        <v>117.9</v>
      </c>
      <c r="J58" s="9" t="n">
        <f aca="false">VALUE('Courier Invoice'!H58)</f>
        <v>89.6</v>
      </c>
      <c r="K58" s="9" t="n">
        <f aca="false">ROUND(J58-I58,2)</f>
        <v>-28.3</v>
      </c>
    </row>
    <row r="59" customFormat="false" ht="15" hidden="false" customHeight="true" outlineLevel="0" collapsed="false">
      <c r="A59" s="8" t="str">
        <f aca="false">'Courier Invoice'!B59</f>
        <v>2001809794</v>
      </c>
      <c r="B59" s="8" t="str">
        <f aca="false">'Courier Invoice'!A59</f>
        <v>1091117795531</v>
      </c>
      <c r="C59" s="9" t="n">
        <f aca="false">SUMIF('Order Report'!$A:$A,$A59,'Order Report'!$D:$D)/1000</f>
        <v>1.517</v>
      </c>
      <c r="D59" s="9" t="n">
        <f aca="false">CEILING(C59,0.5)</f>
        <v>2</v>
      </c>
      <c r="E59" s="9" t="n">
        <f aca="false">VALUE('Courier Invoice'!C59)</f>
        <v>1.5</v>
      </c>
      <c r="F59" s="9" t="n">
        <f aca="false">CEILING(E59,0.5)</f>
        <v>1.5</v>
      </c>
      <c r="G59" s="8" t="str">
        <f aca="false">INDEX('Pincode Zones'!$C:$C,MATCH('Courier Invoice'!D59&amp;"-"&amp;'Courier Invoice'!E59,'Pincode Zones'!$D:$D,0))</f>
        <v>d</v>
      </c>
      <c r="H59" s="8" t="str">
        <f aca="false">'Courier Invoice'!F59</f>
        <v>d</v>
      </c>
      <c r="I59" s="9" t="n">
        <f aca="false">(INDEX('Courier Rates'!$1:$2,2,MATCH("fwd_"&amp;$G59&amp;"_fixed",'Courier Rates'!$1:$1,0))+INDEX('Courier Rates'!$1:$2,2,MATCH("fwd_"&amp;$G59&amp;"_additional",'Courier Rates'!$1:$1,0))*MAX(0,(D59-0.5)/0.5))+IF(ISNUMBER(SEARCH("rto",'Courier Invoice'!G59)),(INDEX('Courier Rates'!$1:$2,2,MATCH("rto_"&amp;$G59&amp;"_fixed",'Courier Rates'!$1:$1,0))+INDEX('Courier Rates'!$1:$2,2,MATCH("rto_"&amp;$G59&amp;"_additional",'Courier Rates'!$1:$1,0))*MAX(0,(D59-0.5)/0.5)),0)</f>
        <v>179.8</v>
      </c>
      <c r="J59" s="9" t="n">
        <f aca="false">VALUE('Courier Invoice'!H59)</f>
        <v>135</v>
      </c>
      <c r="K59" s="9" t="n">
        <f aca="false">ROUND(J59-I59,2)</f>
        <v>-44.8</v>
      </c>
    </row>
    <row r="60" customFormat="false" ht="15" hidden="false" customHeight="true" outlineLevel="0" collapsed="false">
      <c r="A60" s="8" t="str">
        <f aca="false">'Courier Invoice'!B60</f>
        <v>2001809820</v>
      </c>
      <c r="B60" s="8" t="str">
        <f aca="false">'Courier Invoice'!A60</f>
        <v>1091117795623</v>
      </c>
      <c r="C60" s="9" t="n">
        <f aca="false">SUMIF('Order Report'!$A:$A,$A60,'Order Report'!$D:$D)/1000</f>
        <v>3.08</v>
      </c>
      <c r="D60" s="9" t="n">
        <f aca="false">CEILING(C60,0.5)</f>
        <v>3.5</v>
      </c>
      <c r="E60" s="9" t="n">
        <f aca="false">VALUE('Courier Invoice'!C60)</f>
        <v>3</v>
      </c>
      <c r="F60" s="9" t="n">
        <f aca="false">CEILING(E60,0.5)</f>
        <v>3</v>
      </c>
      <c r="G60" s="8" t="str">
        <f aca="false">INDEX('Pincode Zones'!$C:$C,MATCH('Courier Invoice'!D60&amp;"-"&amp;'Courier Invoice'!E60,'Pincode Zones'!$D:$D,0))</f>
        <v>d</v>
      </c>
      <c r="H60" s="8" t="str">
        <f aca="false">'Courier Invoice'!F60</f>
        <v>d</v>
      </c>
      <c r="I60" s="9" t="n">
        <f aca="false">(INDEX('Courier Rates'!$1:$2,2,MATCH("fwd_"&amp;$G60&amp;"_fixed",'Courier Rates'!$1:$1,0))+INDEX('Courier Rates'!$1:$2,2,MATCH("fwd_"&amp;$G60&amp;"_additional",'Courier Rates'!$1:$1,0))*MAX(0,(D60-0.5)/0.5))+IF(ISNUMBER(SEARCH("rto",'Courier Invoice'!G60)),(INDEX('Courier Rates'!$1:$2,2,MATCH("rto_"&amp;$G60&amp;"_fixed",'Courier Rates'!$1:$1,0))+INDEX('Courier Rates'!$1:$2,2,MATCH("rto_"&amp;$G60&amp;"_additional",'Courier Rates'!$1:$1,0))*MAX(0,(D60-0.5)/0.5)),0)</f>
        <v>314.2</v>
      </c>
      <c r="J60" s="9" t="n">
        <f aca="false">VALUE('Courier Invoice'!H60)</f>
        <v>269.4</v>
      </c>
      <c r="K60" s="9" t="n">
        <f aca="false">ROUND(J60-I60,2)</f>
        <v>-44.8</v>
      </c>
    </row>
    <row r="61" customFormat="false" ht="15" hidden="false" customHeight="true" outlineLevel="0" collapsed="false">
      <c r="A61" s="8" t="str">
        <f aca="false">'Courier Invoice'!B61</f>
        <v>2001806471</v>
      </c>
      <c r="B61" s="8" t="str">
        <f aca="false">'Courier Invoice'!A61</f>
        <v>1091117223351</v>
      </c>
      <c r="C61" s="9" t="n">
        <f aca="false">SUMIF('Order Report'!$A:$A,$A61,'Order Report'!$D:$D)/1000</f>
        <v>1.621</v>
      </c>
      <c r="D61" s="9" t="n">
        <f aca="false">CEILING(C61,0.5)</f>
        <v>2</v>
      </c>
      <c r="E61" s="9" t="n">
        <f aca="false">VALUE('Courier Invoice'!C61)</f>
        <v>1.7</v>
      </c>
      <c r="F61" s="9" t="n">
        <f aca="false">CEILING(E61,0.5)</f>
        <v>2</v>
      </c>
      <c r="G61" s="8" t="str">
        <f aca="false">INDEX('Pincode Zones'!$C:$C,MATCH('Courier Invoice'!D61&amp;"-"&amp;'Courier Invoice'!E61,'Pincode Zones'!$D:$D,0))</f>
        <v>b</v>
      </c>
      <c r="H61" s="8" t="str">
        <f aca="false">'Courier Invoice'!F61</f>
        <v>d</v>
      </c>
      <c r="I61" s="9" t="n">
        <f aca="false">(INDEX('Courier Rates'!$1:$2,2,MATCH("fwd_"&amp;$G61&amp;"_fixed",'Courier Rates'!$1:$1,0))+INDEX('Courier Rates'!$1:$2,2,MATCH("fwd_"&amp;$G61&amp;"_additional",'Courier Rates'!$1:$1,0))*MAX(0,(D61-0.5)/0.5))+IF(ISNUMBER(SEARCH("rto",'Courier Invoice'!G61)),(INDEX('Courier Rates'!$1:$2,2,MATCH("rto_"&amp;$G61&amp;"_fixed",'Courier Rates'!$1:$1,0))+INDEX('Courier Rates'!$1:$2,2,MATCH("rto_"&amp;$G61&amp;"_additional",'Courier Rates'!$1:$1,0))*MAX(0,(D61-0.5)/0.5)),0)</f>
        <v>117.9</v>
      </c>
      <c r="J61" s="9" t="n">
        <f aca="false">VALUE('Courier Invoice'!H61)</f>
        <v>179.8</v>
      </c>
      <c r="K61" s="9" t="n">
        <f aca="false">ROUND(J61-I61,2)</f>
        <v>61.9</v>
      </c>
    </row>
    <row r="62" customFormat="false" ht="15" hidden="false" customHeight="true" outlineLevel="0" collapsed="false">
      <c r="A62" s="8" t="str">
        <f aca="false">'Courier Invoice'!B62</f>
        <v>2001807241</v>
      </c>
      <c r="B62" s="8" t="str">
        <f aca="false">'Courier Invoice'!A62</f>
        <v>1091117324011</v>
      </c>
      <c r="C62" s="9" t="n">
        <f aca="false">SUMIF('Order Report'!$A:$A,$A62,'Order Report'!$D:$D)/1000</f>
        <v>0.607</v>
      </c>
      <c r="D62" s="9" t="n">
        <f aca="false">CEILING(C62,0.5)</f>
        <v>1</v>
      </c>
      <c r="E62" s="9" t="n">
        <f aca="false">VALUE('Courier Invoice'!C62)</f>
        <v>0.79</v>
      </c>
      <c r="F62" s="9" t="n">
        <f aca="false">CEILING(E62,0.5)</f>
        <v>1</v>
      </c>
      <c r="G62" s="8" t="str">
        <f aca="false">INDEX('Pincode Zones'!$C:$C,MATCH('Courier Invoice'!D62&amp;"-"&amp;'Courier Invoice'!E62,'Pincode Zones'!$D:$D,0))</f>
        <v>b</v>
      </c>
      <c r="H62" s="8" t="str">
        <f aca="false">'Courier Invoice'!F62</f>
        <v>d</v>
      </c>
      <c r="I62" s="9" t="n">
        <f aca="false">(INDEX('Courier Rates'!$1:$2,2,MATCH("fwd_"&amp;$G62&amp;"_fixed",'Courier Rates'!$1:$1,0))+INDEX('Courier Rates'!$1:$2,2,MATCH("fwd_"&amp;$G62&amp;"_additional",'Courier Rates'!$1:$1,0))*MAX(0,(D62-0.5)/0.5))+IF(ISNUMBER(SEARCH("rto",'Courier Invoice'!G62)),(INDEX('Courier Rates'!$1:$2,2,MATCH("rto_"&amp;$G62&amp;"_fixed",'Courier Rates'!$1:$1,0))+INDEX('Courier Rates'!$1:$2,2,MATCH("rto_"&amp;$G62&amp;"_additional",'Courier Rates'!$1:$1,0))*MAX(0,(D62-0.5)/0.5)),0)</f>
        <v>61.3</v>
      </c>
      <c r="J62" s="9" t="n">
        <f aca="false">VALUE('Courier Invoice'!H62)</f>
        <v>90.2</v>
      </c>
      <c r="K62" s="9" t="n">
        <f aca="false">ROUND(J62-I62,2)</f>
        <v>28.9</v>
      </c>
    </row>
    <row r="63" customFormat="false" ht="15" hidden="false" customHeight="true" outlineLevel="0" collapsed="false">
      <c r="A63" s="8" t="str">
        <f aca="false">'Courier Invoice'!B63</f>
        <v>2001807981</v>
      </c>
      <c r="B63" s="8" t="str">
        <f aca="false">'Courier Invoice'!A63</f>
        <v>1091117327570</v>
      </c>
      <c r="C63" s="9" t="n">
        <f aca="false">SUMIF('Order Report'!$A:$A,$A63,'Order Report'!$D:$D)/1000</f>
        <v>0.5</v>
      </c>
      <c r="D63" s="9" t="n">
        <f aca="false">CEILING(C63,0.5)</f>
        <v>0.5</v>
      </c>
      <c r="E63" s="9" t="n">
        <f aca="false">VALUE('Courier Invoice'!C63)</f>
        <v>0.5</v>
      </c>
      <c r="F63" s="9" t="n">
        <f aca="false">CEILING(E63,0.5)</f>
        <v>0.5</v>
      </c>
      <c r="G63" s="8" t="str">
        <f aca="false">INDEX('Pincode Zones'!$C:$C,MATCH('Courier Invoice'!D63&amp;"-"&amp;'Courier Invoice'!E63,'Pincode Zones'!$D:$D,0))</f>
        <v>b</v>
      </c>
      <c r="H63" s="8" t="str">
        <f aca="false">'Courier Invoice'!F63</f>
        <v>d</v>
      </c>
      <c r="I63" s="9" t="n">
        <f aca="false">(INDEX('Courier Rates'!$1:$2,2,MATCH("fwd_"&amp;$G63&amp;"_fixed",'Courier Rates'!$1:$1,0))+INDEX('Courier Rates'!$1:$2,2,MATCH("fwd_"&amp;$G63&amp;"_additional",'Courier Rates'!$1:$1,0))*MAX(0,(D63-0.5)/0.5))+IF(ISNUMBER(SEARCH("rto",'Courier Invoice'!G63)),(INDEX('Courier Rates'!$1:$2,2,MATCH("rto_"&amp;$G63&amp;"_fixed",'Courier Rates'!$1:$1,0))+INDEX('Courier Rates'!$1:$2,2,MATCH("rto_"&amp;$G63&amp;"_additional",'Courier Rates'!$1:$1,0))*MAX(0,(D63-0.5)/0.5)),0)</f>
        <v>33</v>
      </c>
      <c r="J63" s="9" t="n">
        <f aca="false">VALUE('Courier Invoice'!H63)</f>
        <v>45.4</v>
      </c>
      <c r="K63" s="9" t="n">
        <f aca="false">ROUND(J63-I63,2)</f>
        <v>12.4</v>
      </c>
    </row>
    <row r="64" customFormat="false" ht="15" hidden="false" customHeight="true" outlineLevel="0" collapsed="false">
      <c r="A64" s="8" t="str">
        <f aca="false">'Courier Invoice'!B64</f>
        <v>2001808286</v>
      </c>
      <c r="B64" s="8" t="str">
        <f aca="false">'Courier Invoice'!A64</f>
        <v>1091117435602</v>
      </c>
      <c r="C64" s="9" t="n">
        <f aca="false">SUMIF('Order Report'!$A:$A,$A64,'Order Report'!$D:$D)/1000</f>
        <v>0.601</v>
      </c>
      <c r="D64" s="9" t="n">
        <f aca="false">CEILING(C64,0.5)</f>
        <v>1</v>
      </c>
      <c r="E64" s="9" t="n">
        <f aca="false">VALUE('Courier Invoice'!C64)</f>
        <v>0.77</v>
      </c>
      <c r="F64" s="9" t="n">
        <f aca="false">CEILING(E64,0.5)</f>
        <v>1</v>
      </c>
      <c r="G64" s="8" t="str">
        <f aca="false">INDEX('Pincode Zones'!$C:$C,MATCH('Courier Invoice'!D64&amp;"-"&amp;'Courier Invoice'!E64,'Pincode Zones'!$D:$D,0))</f>
        <v>b</v>
      </c>
      <c r="H64" s="8" t="str">
        <f aca="false">'Courier Invoice'!F64</f>
        <v>d</v>
      </c>
      <c r="I64" s="9" t="n">
        <f aca="false">(INDEX('Courier Rates'!$1:$2,2,MATCH("fwd_"&amp;$G64&amp;"_fixed",'Courier Rates'!$1:$1,0))+INDEX('Courier Rates'!$1:$2,2,MATCH("fwd_"&amp;$G64&amp;"_additional",'Courier Rates'!$1:$1,0))*MAX(0,(D64-0.5)/0.5))+IF(ISNUMBER(SEARCH("rto",'Courier Invoice'!G64)),(INDEX('Courier Rates'!$1:$2,2,MATCH("rto_"&amp;$G64&amp;"_fixed",'Courier Rates'!$1:$1,0))+INDEX('Courier Rates'!$1:$2,2,MATCH("rto_"&amp;$G64&amp;"_additional",'Courier Rates'!$1:$1,0))*MAX(0,(D64-0.5)/0.5)),0)</f>
        <v>61.3</v>
      </c>
      <c r="J64" s="9" t="n">
        <f aca="false">VALUE('Courier Invoice'!H64)</f>
        <v>90.2</v>
      </c>
      <c r="K64" s="9" t="n">
        <f aca="false">ROUND(J64-I64,2)</f>
        <v>28.9</v>
      </c>
    </row>
    <row r="65" customFormat="false" ht="15" hidden="false" customHeight="true" outlineLevel="0" collapsed="false">
      <c r="A65" s="8" t="str">
        <f aca="false">'Courier Invoice'!B65</f>
        <v>2001808801</v>
      </c>
      <c r="B65" s="8" t="str">
        <f aca="false">'Courier Invoice'!A65</f>
        <v>1091117437680</v>
      </c>
      <c r="C65" s="9" t="n">
        <f aca="false">SUMIF('Order Report'!$A:$A,$A65,'Order Report'!$D:$D)/1000</f>
        <v>0.731</v>
      </c>
      <c r="D65" s="9" t="n">
        <f aca="false">CEILING(C65,0.5)</f>
        <v>1</v>
      </c>
      <c r="E65" s="9" t="n">
        <f aca="false">VALUE('Courier Invoice'!C65)</f>
        <v>0.8</v>
      </c>
      <c r="F65" s="9" t="n">
        <f aca="false">CEILING(E65,0.5)</f>
        <v>1</v>
      </c>
      <c r="G65" s="8" t="str">
        <f aca="false">INDEX('Pincode Zones'!$C:$C,MATCH('Courier Invoice'!D65&amp;"-"&amp;'Courier Invoice'!E65,'Pincode Zones'!$D:$D,0))</f>
        <v>b</v>
      </c>
      <c r="H65" s="8" t="str">
        <f aca="false">'Courier Invoice'!F65</f>
        <v>d</v>
      </c>
      <c r="I65" s="9" t="n">
        <f aca="false">(INDEX('Courier Rates'!$1:$2,2,MATCH("fwd_"&amp;$G65&amp;"_fixed",'Courier Rates'!$1:$1,0))+INDEX('Courier Rates'!$1:$2,2,MATCH("fwd_"&amp;$G65&amp;"_additional",'Courier Rates'!$1:$1,0))*MAX(0,(D65-0.5)/0.5))+IF(ISNUMBER(SEARCH("rto",'Courier Invoice'!G65)),(INDEX('Courier Rates'!$1:$2,2,MATCH("rto_"&amp;$G65&amp;"_fixed",'Courier Rates'!$1:$1,0))+INDEX('Courier Rates'!$1:$2,2,MATCH("rto_"&amp;$G65&amp;"_additional",'Courier Rates'!$1:$1,0))*MAX(0,(D65-0.5)/0.5)),0)</f>
        <v>61.3</v>
      </c>
      <c r="J65" s="9" t="n">
        <f aca="false">VALUE('Courier Invoice'!H65)</f>
        <v>90.2</v>
      </c>
      <c r="K65" s="9" t="n">
        <f aca="false">ROUND(J65-I65,2)</f>
        <v>28.9</v>
      </c>
    </row>
    <row r="66" customFormat="false" ht="15" hidden="false" customHeight="true" outlineLevel="0" collapsed="false">
      <c r="A66" s="8" t="str">
        <f aca="false">'Courier Invoice'!B66</f>
        <v>2001810104</v>
      </c>
      <c r="B66" s="8" t="str">
        <f aca="false">'Courier Invoice'!A66</f>
        <v>1091117804200</v>
      </c>
      <c r="C66" s="9" t="n">
        <f aca="false">SUMIF('Order Report'!$A:$A,$A66,'Order Report'!$D:$D)/1000</f>
        <v>0.601</v>
      </c>
      <c r="D66" s="9" t="n">
        <f aca="false">CEILING(C66,0.5)</f>
        <v>1</v>
      </c>
      <c r="E66" s="9" t="n">
        <f aca="false">VALUE('Courier Invoice'!C66)</f>
        <v>0.76</v>
      </c>
      <c r="F66" s="9" t="n">
        <f aca="false">CEILING(E66,0.5)</f>
        <v>1</v>
      </c>
      <c r="G66" s="8" t="str">
        <f aca="false">INDEX('Pincode Zones'!$C:$C,MATCH('Courier Invoice'!D66&amp;"-"&amp;'Courier Invoice'!E66,'Pincode Zones'!$D:$D,0))</f>
        <v>b</v>
      </c>
      <c r="H66" s="8" t="str">
        <f aca="false">'Courier Invoice'!F66</f>
        <v>d</v>
      </c>
      <c r="I66" s="9" t="n">
        <f aca="false">(INDEX('Courier Rates'!$1:$2,2,MATCH("fwd_"&amp;$G66&amp;"_fixed",'Courier Rates'!$1:$1,0))+INDEX('Courier Rates'!$1:$2,2,MATCH("fwd_"&amp;$G66&amp;"_additional",'Courier Rates'!$1:$1,0))*MAX(0,(D66-0.5)/0.5))+IF(ISNUMBER(SEARCH("rto",'Courier Invoice'!G66)),(INDEX('Courier Rates'!$1:$2,2,MATCH("rto_"&amp;$G66&amp;"_fixed",'Courier Rates'!$1:$1,0))+INDEX('Courier Rates'!$1:$2,2,MATCH("rto_"&amp;$G66&amp;"_additional",'Courier Rates'!$1:$1,0))*MAX(0,(D66-0.5)/0.5)),0)</f>
        <v>61.3</v>
      </c>
      <c r="J66" s="9" t="n">
        <f aca="false">VALUE('Courier Invoice'!H66)</f>
        <v>90.2</v>
      </c>
      <c r="K66" s="9" t="n">
        <f aca="false">ROUND(J66-I66,2)</f>
        <v>28.9</v>
      </c>
    </row>
    <row r="67" customFormat="false" ht="15" hidden="false" customHeight="true" outlineLevel="0" collapsed="false">
      <c r="A67" s="8" t="str">
        <f aca="false">'Courier Invoice'!B67</f>
        <v>2001811153</v>
      </c>
      <c r="B67" s="8" t="str">
        <f aca="false">'Courier Invoice'!A67</f>
        <v>1091117957533</v>
      </c>
      <c r="C67" s="9" t="n">
        <f aca="false">SUMIF('Order Report'!$A:$A,$A67,'Order Report'!$D:$D)/1000</f>
        <v>0.607</v>
      </c>
      <c r="D67" s="9" t="n">
        <f aca="false">CEILING(C67,0.5)</f>
        <v>1</v>
      </c>
      <c r="E67" s="9" t="n">
        <f aca="false">VALUE('Courier Invoice'!C67)</f>
        <v>0.76</v>
      </c>
      <c r="F67" s="9" t="n">
        <f aca="false">CEILING(E67,0.5)</f>
        <v>1</v>
      </c>
      <c r="G67" s="8" t="str">
        <f aca="false">INDEX('Pincode Zones'!$C:$C,MATCH('Courier Invoice'!D67&amp;"-"&amp;'Courier Invoice'!E67,'Pincode Zones'!$D:$D,0))</f>
        <v>b</v>
      </c>
      <c r="H67" s="8" t="str">
        <f aca="false">'Courier Invoice'!F67</f>
        <v>d</v>
      </c>
      <c r="I67" s="9" t="n">
        <f aca="false">(INDEX('Courier Rates'!$1:$2,2,MATCH("fwd_"&amp;$G67&amp;"_fixed",'Courier Rates'!$1:$1,0))+INDEX('Courier Rates'!$1:$2,2,MATCH("fwd_"&amp;$G67&amp;"_additional",'Courier Rates'!$1:$1,0))*MAX(0,(D67-0.5)/0.5))+IF(ISNUMBER(SEARCH("rto",'Courier Invoice'!G67)),(INDEX('Courier Rates'!$1:$2,2,MATCH("rto_"&amp;$G67&amp;"_fixed",'Courier Rates'!$1:$1,0))+INDEX('Courier Rates'!$1:$2,2,MATCH("rto_"&amp;$G67&amp;"_additional",'Courier Rates'!$1:$1,0))*MAX(0,(D67-0.5)/0.5)),0)</f>
        <v>61.3</v>
      </c>
      <c r="J67" s="9" t="n">
        <f aca="false">VALUE('Courier Invoice'!H67)</f>
        <v>90.2</v>
      </c>
      <c r="K67" s="9" t="n">
        <f aca="false">ROUND(J67-I67,2)</f>
        <v>28.9</v>
      </c>
    </row>
    <row r="68" customFormat="false" ht="15" hidden="false" customHeight="true" outlineLevel="0" collapsed="false">
      <c r="A68" s="8" t="str">
        <f aca="false">'Courier Invoice'!B68</f>
        <v>2001811229</v>
      </c>
      <c r="B68" s="8" t="str">
        <f aca="false">'Courier Invoice'!A68</f>
        <v>1091117957942</v>
      </c>
      <c r="C68" s="9" t="n">
        <f aca="false">SUMIF('Order Report'!$A:$A,$A68,'Order Report'!$D:$D)/1000</f>
        <v>0.505</v>
      </c>
      <c r="D68" s="9" t="n">
        <f aca="false">CEILING(C68,0.5)</f>
        <v>1</v>
      </c>
      <c r="E68" s="9" t="n">
        <f aca="false">VALUE('Courier Invoice'!C68)</f>
        <v>0.6</v>
      </c>
      <c r="F68" s="9" t="n">
        <f aca="false">CEILING(E68,0.5)</f>
        <v>1</v>
      </c>
      <c r="G68" s="8" t="str">
        <f aca="false">INDEX('Pincode Zones'!$C:$C,MATCH('Courier Invoice'!D68&amp;"-"&amp;'Courier Invoice'!E68,'Pincode Zones'!$D:$D,0))</f>
        <v>b</v>
      </c>
      <c r="H68" s="8" t="str">
        <f aca="false">'Courier Invoice'!F68</f>
        <v>d</v>
      </c>
      <c r="I68" s="9" t="n">
        <f aca="false">(INDEX('Courier Rates'!$1:$2,2,MATCH("fwd_"&amp;$G68&amp;"_fixed",'Courier Rates'!$1:$1,0))+INDEX('Courier Rates'!$1:$2,2,MATCH("fwd_"&amp;$G68&amp;"_additional",'Courier Rates'!$1:$1,0))*MAX(0,(D68-0.5)/0.5))+IF(ISNUMBER(SEARCH("rto",'Courier Invoice'!G68)),(INDEX('Courier Rates'!$1:$2,2,MATCH("rto_"&amp;$G68&amp;"_fixed",'Courier Rates'!$1:$1,0))+INDEX('Courier Rates'!$1:$2,2,MATCH("rto_"&amp;$G68&amp;"_additional",'Courier Rates'!$1:$1,0))*MAX(0,(D68-0.5)/0.5)),0)</f>
        <v>61.3</v>
      </c>
      <c r="J68" s="9" t="n">
        <f aca="false">VALUE('Courier Invoice'!H68)</f>
        <v>90.2</v>
      </c>
      <c r="K68" s="9" t="n">
        <f aca="false">ROUND(J68-I68,2)</f>
        <v>28.9</v>
      </c>
    </row>
    <row r="69" customFormat="false" ht="15" hidden="false" customHeight="true" outlineLevel="0" collapsed="false">
      <c r="A69" s="8" t="str">
        <f aca="false">'Courier Invoice'!B69</f>
        <v>2001811363</v>
      </c>
      <c r="B69" s="8" t="str">
        <f aca="false">'Courier Invoice'!A69</f>
        <v>1091117958395</v>
      </c>
      <c r="C69" s="9" t="n">
        <f aca="false">SUMIF('Order Report'!$A:$A,$A69,'Order Report'!$D:$D)/1000</f>
        <v>0.508</v>
      </c>
      <c r="D69" s="9" t="n">
        <f aca="false">CEILING(C69,0.5)</f>
        <v>1</v>
      </c>
      <c r="E69" s="9" t="n">
        <f aca="false">VALUE('Courier Invoice'!C69)</f>
        <v>0.59</v>
      </c>
      <c r="F69" s="9" t="n">
        <f aca="false">CEILING(E69,0.5)</f>
        <v>1</v>
      </c>
      <c r="G69" s="8" t="str">
        <f aca="false">INDEX('Pincode Zones'!$C:$C,MATCH('Courier Invoice'!D69&amp;"-"&amp;'Courier Invoice'!E69,'Pincode Zones'!$D:$D,0))</f>
        <v>b</v>
      </c>
      <c r="H69" s="8" t="str">
        <f aca="false">'Courier Invoice'!F69</f>
        <v>d</v>
      </c>
      <c r="I69" s="9" t="n">
        <f aca="false">(INDEX('Courier Rates'!$1:$2,2,MATCH("fwd_"&amp;$G69&amp;"_fixed",'Courier Rates'!$1:$1,0))+INDEX('Courier Rates'!$1:$2,2,MATCH("fwd_"&amp;$G69&amp;"_additional",'Courier Rates'!$1:$1,0))*MAX(0,(D69-0.5)/0.5))+IF(ISNUMBER(SEARCH("rto",'Courier Invoice'!G69)),(INDEX('Courier Rates'!$1:$2,2,MATCH("rto_"&amp;$G69&amp;"_fixed",'Courier Rates'!$1:$1,0))+INDEX('Courier Rates'!$1:$2,2,MATCH("rto_"&amp;$G69&amp;"_additional",'Courier Rates'!$1:$1,0))*MAX(0,(D69-0.5)/0.5)),0)</f>
        <v>61.3</v>
      </c>
      <c r="J69" s="9" t="n">
        <f aca="false">VALUE('Courier Invoice'!H69)</f>
        <v>90.2</v>
      </c>
      <c r="K69" s="9" t="n">
        <f aca="false">ROUND(J69-I69,2)</f>
        <v>28.9</v>
      </c>
    </row>
    <row r="70" customFormat="false" ht="15" hidden="false" customHeight="true" outlineLevel="0" collapsed="false">
      <c r="A70" s="8" t="str">
        <f aca="false">'Courier Invoice'!B70</f>
        <v>2001811466</v>
      </c>
      <c r="B70" s="8" t="str">
        <f aca="false">'Courier Invoice'!A70</f>
        <v>1091118001865</v>
      </c>
      <c r="C70" s="9" t="n">
        <f aca="false">SUMIF('Order Report'!$A:$A,$A70,'Order Report'!$D:$D)/1000</f>
        <v>0.607</v>
      </c>
      <c r="D70" s="9" t="n">
        <f aca="false">CEILING(C70,0.5)</f>
        <v>1</v>
      </c>
      <c r="E70" s="9" t="n">
        <f aca="false">VALUE('Courier Invoice'!C70)</f>
        <v>0.8</v>
      </c>
      <c r="F70" s="9" t="n">
        <f aca="false">CEILING(E70,0.5)</f>
        <v>1</v>
      </c>
      <c r="G70" s="8" t="str">
        <f aca="false">INDEX('Pincode Zones'!$C:$C,MATCH('Courier Invoice'!D70&amp;"-"&amp;'Courier Invoice'!E70,'Pincode Zones'!$D:$D,0))</f>
        <v>b</v>
      </c>
      <c r="H70" s="8" t="str">
        <f aca="false">'Courier Invoice'!F70</f>
        <v>d</v>
      </c>
      <c r="I70" s="9" t="n">
        <f aca="false">(INDEX('Courier Rates'!$1:$2,2,MATCH("fwd_"&amp;$G70&amp;"_fixed",'Courier Rates'!$1:$1,0))+INDEX('Courier Rates'!$1:$2,2,MATCH("fwd_"&amp;$G70&amp;"_additional",'Courier Rates'!$1:$1,0))*MAX(0,(D70-0.5)/0.5))+IF(ISNUMBER(SEARCH("rto",'Courier Invoice'!G70)),(INDEX('Courier Rates'!$1:$2,2,MATCH("rto_"&amp;$G70&amp;"_fixed",'Courier Rates'!$1:$1,0))+INDEX('Courier Rates'!$1:$2,2,MATCH("rto_"&amp;$G70&amp;"_additional",'Courier Rates'!$1:$1,0))*MAX(0,(D70-0.5)/0.5)),0)</f>
        <v>61.3</v>
      </c>
      <c r="J70" s="9" t="n">
        <f aca="false">VALUE('Courier Invoice'!H70)</f>
        <v>90.2</v>
      </c>
      <c r="K70" s="9" t="n">
        <f aca="false">ROUND(J70-I70,2)</f>
        <v>28.9</v>
      </c>
    </row>
    <row r="71" customFormat="false" ht="15" hidden="false" customHeight="true" outlineLevel="0" collapsed="false">
      <c r="A71" s="8" t="str">
        <f aca="false">'Courier Invoice'!B71</f>
        <v>2001811809</v>
      </c>
      <c r="B71" s="8" t="str">
        <f aca="false">'Courier Invoice'!A71</f>
        <v>1091118009786</v>
      </c>
      <c r="C71" s="9" t="n">
        <f aca="false">SUMIF('Order Report'!$A:$A,$A71,'Order Report'!$D:$D)/1000</f>
        <v>0.5</v>
      </c>
      <c r="D71" s="9" t="n">
        <f aca="false">CEILING(C71,0.5)</f>
        <v>0.5</v>
      </c>
      <c r="E71" s="9" t="n">
        <f aca="false">VALUE('Courier Invoice'!C71)</f>
        <v>0.5</v>
      </c>
      <c r="F71" s="9" t="n">
        <f aca="false">CEILING(E71,0.5)</f>
        <v>0.5</v>
      </c>
      <c r="G71" s="8" t="str">
        <f aca="false">INDEX('Pincode Zones'!$C:$C,MATCH('Courier Invoice'!D71&amp;"-"&amp;'Courier Invoice'!E71,'Pincode Zones'!$D:$D,0))</f>
        <v>b</v>
      </c>
      <c r="H71" s="8" t="str">
        <f aca="false">'Courier Invoice'!F71</f>
        <v>d</v>
      </c>
      <c r="I71" s="9" t="n">
        <f aca="false">(INDEX('Courier Rates'!$1:$2,2,MATCH("fwd_"&amp;$G71&amp;"_fixed",'Courier Rates'!$1:$1,0))+INDEX('Courier Rates'!$1:$2,2,MATCH("fwd_"&amp;$G71&amp;"_additional",'Courier Rates'!$1:$1,0))*MAX(0,(D71-0.5)/0.5))+IF(ISNUMBER(SEARCH("rto",'Courier Invoice'!G71)),(INDEX('Courier Rates'!$1:$2,2,MATCH("rto_"&amp;$G71&amp;"_fixed",'Courier Rates'!$1:$1,0))+INDEX('Courier Rates'!$1:$2,2,MATCH("rto_"&amp;$G71&amp;"_additional",'Courier Rates'!$1:$1,0))*MAX(0,(D71-0.5)/0.5)),0)</f>
        <v>53.5</v>
      </c>
      <c r="J71" s="9" t="n">
        <f aca="false">VALUE('Courier Invoice'!H71)</f>
        <v>86.7</v>
      </c>
      <c r="K71" s="9" t="n">
        <f aca="false">ROUND(J71-I71,2)</f>
        <v>33.2</v>
      </c>
    </row>
    <row r="72" customFormat="false" ht="15" hidden="false" customHeight="true" outlineLevel="0" collapsed="false">
      <c r="A72" s="8" t="str">
        <f aca="false">'Courier Invoice'!B72</f>
        <v>2001812854</v>
      </c>
      <c r="B72" s="8" t="str">
        <f aca="false">'Courier Invoice'!A72</f>
        <v>1091118548333</v>
      </c>
      <c r="C72" s="9" t="n">
        <f aca="false">SUMIF('Order Report'!$A:$A,$A72,'Order Report'!$D:$D)/1000</f>
        <v>2.572</v>
      </c>
      <c r="D72" s="9" t="n">
        <f aca="false">CEILING(C72,0.5)</f>
        <v>3</v>
      </c>
      <c r="E72" s="9" t="n">
        <f aca="false">VALUE('Courier Invoice'!C72)</f>
        <v>2.94</v>
      </c>
      <c r="F72" s="9" t="n">
        <f aca="false">CEILING(E72,0.5)</f>
        <v>3</v>
      </c>
      <c r="G72" s="8" t="str">
        <f aca="false">INDEX('Pincode Zones'!$C:$C,MATCH('Courier Invoice'!D72&amp;"-"&amp;'Courier Invoice'!E72,'Pincode Zones'!$D:$D,0))</f>
        <v>b</v>
      </c>
      <c r="H72" s="8" t="str">
        <f aca="false">'Courier Invoice'!F72</f>
        <v>d</v>
      </c>
      <c r="I72" s="9" t="n">
        <f aca="false">(INDEX('Courier Rates'!$1:$2,2,MATCH("fwd_"&amp;$G72&amp;"_fixed",'Courier Rates'!$1:$1,0))+INDEX('Courier Rates'!$1:$2,2,MATCH("fwd_"&amp;$G72&amp;"_additional",'Courier Rates'!$1:$1,0))*MAX(0,(D72-0.5)/0.5))+IF(ISNUMBER(SEARCH("rto",'Courier Invoice'!G72)),(INDEX('Courier Rates'!$1:$2,2,MATCH("rto_"&amp;$G72&amp;"_fixed",'Courier Rates'!$1:$1,0))+INDEX('Courier Rates'!$1:$2,2,MATCH("rto_"&amp;$G72&amp;"_additional",'Courier Rates'!$1:$1,0))*MAX(0,(D72-0.5)/0.5)),0)</f>
        <v>174.5</v>
      </c>
      <c r="J72" s="9" t="n">
        <f aca="false">VALUE('Courier Invoice'!H72)</f>
        <v>269.4</v>
      </c>
      <c r="K72" s="9" t="n">
        <f aca="false">ROUND(J72-I72,2)</f>
        <v>94.9</v>
      </c>
    </row>
    <row r="73" customFormat="false" ht="15" hidden="false" customHeight="true" outlineLevel="0" collapsed="false">
      <c r="A73" s="8" t="str">
        <f aca="false">'Courier Invoice'!B73</f>
        <v>2001813009</v>
      </c>
      <c r="B73" s="8" t="str">
        <f aca="false">'Courier Invoice'!A73</f>
        <v>1091118553701</v>
      </c>
      <c r="C73" s="9" t="n">
        <f aca="false">SUMIF('Order Report'!$A:$A,$A73,'Order Report'!$D:$D)/1000</f>
        <v>0.72</v>
      </c>
      <c r="D73" s="9" t="n">
        <f aca="false">CEILING(C73,0.5)</f>
        <v>1</v>
      </c>
      <c r="E73" s="9" t="n">
        <f aca="false">VALUE('Courier Invoice'!C73)</f>
        <v>1</v>
      </c>
      <c r="F73" s="9" t="n">
        <f aca="false">CEILING(E73,0.5)</f>
        <v>1</v>
      </c>
      <c r="G73" s="8" t="str">
        <f aca="false">INDEX('Pincode Zones'!$C:$C,MATCH('Courier Invoice'!D73&amp;"-"&amp;'Courier Invoice'!E73,'Pincode Zones'!$D:$D,0))</f>
        <v>b</v>
      </c>
      <c r="H73" s="8" t="str">
        <f aca="false">'Courier Invoice'!F73</f>
        <v>d</v>
      </c>
      <c r="I73" s="9" t="n">
        <f aca="false">(INDEX('Courier Rates'!$1:$2,2,MATCH("fwd_"&amp;$G73&amp;"_fixed",'Courier Rates'!$1:$1,0))+INDEX('Courier Rates'!$1:$2,2,MATCH("fwd_"&amp;$G73&amp;"_additional",'Courier Rates'!$1:$1,0))*MAX(0,(D73-0.5)/0.5))+IF(ISNUMBER(SEARCH("rto",'Courier Invoice'!G73)),(INDEX('Courier Rates'!$1:$2,2,MATCH("rto_"&amp;$G73&amp;"_fixed",'Courier Rates'!$1:$1,0))+INDEX('Courier Rates'!$1:$2,2,MATCH("rto_"&amp;$G73&amp;"_additional",'Courier Rates'!$1:$1,0))*MAX(0,(D73-0.5)/0.5)),0)</f>
        <v>61.3</v>
      </c>
      <c r="J73" s="9" t="n">
        <f aca="false">VALUE('Courier Invoice'!H73)</f>
        <v>90.2</v>
      </c>
      <c r="K73" s="9" t="n">
        <f aca="false">ROUND(J73-I73,2)</f>
        <v>28.9</v>
      </c>
    </row>
    <row r="74" customFormat="false" ht="15" hidden="false" customHeight="true" outlineLevel="0" collapsed="false">
      <c r="A74" s="8" t="str">
        <f aca="false">'Courier Invoice'!B74</f>
        <v>2001812650</v>
      </c>
      <c r="B74" s="8" t="str">
        <f aca="false">'Courier Invoice'!A74</f>
        <v>1091118591534</v>
      </c>
      <c r="C74" s="9" t="n">
        <f aca="false">SUMIF('Order Report'!$A:$A,$A74,'Order Report'!$D:$D)/1000</f>
        <v>0.563</v>
      </c>
      <c r="D74" s="9" t="n">
        <f aca="false">CEILING(C74,0.5)</f>
        <v>1</v>
      </c>
      <c r="E74" s="9" t="n">
        <f aca="false">VALUE('Courier Invoice'!C74)</f>
        <v>0.61</v>
      </c>
      <c r="F74" s="9" t="n">
        <f aca="false">CEILING(E74,0.5)</f>
        <v>1</v>
      </c>
      <c r="G74" s="8" t="str">
        <f aca="false">INDEX('Pincode Zones'!$C:$C,MATCH('Courier Invoice'!D74&amp;"-"&amp;'Courier Invoice'!E74,'Pincode Zones'!$D:$D,0))</f>
        <v>b</v>
      </c>
      <c r="H74" s="8" t="str">
        <f aca="false">'Courier Invoice'!F74</f>
        <v>d</v>
      </c>
      <c r="I74" s="9" t="n">
        <f aca="false">(INDEX('Courier Rates'!$1:$2,2,MATCH("fwd_"&amp;$G74&amp;"_fixed",'Courier Rates'!$1:$1,0))+INDEX('Courier Rates'!$1:$2,2,MATCH("fwd_"&amp;$G74&amp;"_additional",'Courier Rates'!$1:$1,0))*MAX(0,(D74-0.5)/0.5))+IF(ISNUMBER(SEARCH("rto",'Courier Invoice'!G74)),(INDEX('Courier Rates'!$1:$2,2,MATCH("rto_"&amp;$G74&amp;"_fixed",'Courier Rates'!$1:$1,0))+INDEX('Courier Rates'!$1:$2,2,MATCH("rto_"&amp;$G74&amp;"_additional",'Courier Rates'!$1:$1,0))*MAX(0,(D74-0.5)/0.5)),0)</f>
        <v>61.3</v>
      </c>
      <c r="J74" s="9" t="n">
        <f aca="false">VALUE('Courier Invoice'!H74)</f>
        <v>90.2</v>
      </c>
      <c r="K74" s="9" t="n">
        <f aca="false">ROUND(J74-I74,2)</f>
        <v>28.9</v>
      </c>
    </row>
    <row r="75" customFormat="false" ht="15" hidden="false" customHeight="true" outlineLevel="0" collapsed="false">
      <c r="A75" s="8" t="str">
        <f aca="false">'Courier Invoice'!B75</f>
        <v>2001814580</v>
      </c>
      <c r="B75" s="8" t="str">
        <f aca="false">'Courier Invoice'!A75</f>
        <v>1091118925110</v>
      </c>
      <c r="C75" s="9" t="n">
        <f aca="false">SUMIF('Order Report'!$A:$A,$A75,'Order Report'!$D:$D)/1000</f>
        <v>0.127</v>
      </c>
      <c r="D75" s="9" t="n">
        <f aca="false">CEILING(C75,0.5)</f>
        <v>0.5</v>
      </c>
      <c r="E75" s="9" t="n">
        <f aca="false">VALUE('Courier Invoice'!C75)</f>
        <v>0.15</v>
      </c>
      <c r="F75" s="9" t="n">
        <f aca="false">CEILING(E75,0.5)</f>
        <v>0.5</v>
      </c>
      <c r="G75" s="8" t="str">
        <f aca="false">INDEX('Pincode Zones'!$C:$C,MATCH('Courier Invoice'!D75&amp;"-"&amp;'Courier Invoice'!E75,'Pincode Zones'!$D:$D,0))</f>
        <v>b</v>
      </c>
      <c r="H75" s="8" t="str">
        <f aca="false">'Courier Invoice'!F75</f>
        <v>d</v>
      </c>
      <c r="I75" s="9" t="n">
        <f aca="false">(INDEX('Courier Rates'!$1:$2,2,MATCH("fwd_"&amp;$G75&amp;"_fixed",'Courier Rates'!$1:$1,0))+INDEX('Courier Rates'!$1:$2,2,MATCH("fwd_"&amp;$G75&amp;"_additional",'Courier Rates'!$1:$1,0))*MAX(0,(D75-0.5)/0.5))+IF(ISNUMBER(SEARCH("rto",'Courier Invoice'!G75)),(INDEX('Courier Rates'!$1:$2,2,MATCH("rto_"&amp;$G75&amp;"_fixed",'Courier Rates'!$1:$1,0))+INDEX('Courier Rates'!$1:$2,2,MATCH("rto_"&amp;$G75&amp;"_additional",'Courier Rates'!$1:$1,0))*MAX(0,(D75-0.5)/0.5)),0)</f>
        <v>53.5</v>
      </c>
      <c r="J75" s="9" t="n">
        <f aca="false">VALUE('Courier Invoice'!H75)</f>
        <v>86.7</v>
      </c>
      <c r="K75" s="9" t="n">
        <f aca="false">ROUND(J75-I75,2)</f>
        <v>33.2</v>
      </c>
    </row>
    <row r="76" customFormat="false" ht="15" hidden="false" customHeight="true" outlineLevel="0" collapsed="false">
      <c r="A76" s="8" t="str">
        <f aca="false">'Courier Invoice'!B76</f>
        <v>2001815688</v>
      </c>
      <c r="B76" s="8" t="str">
        <f aca="false">'Courier Invoice'!A76</f>
        <v>1091119169701</v>
      </c>
      <c r="C76" s="9" t="n">
        <f aca="false">SUMIF('Order Report'!$A:$A,$A76,'Order Report'!$D:$D)/1000</f>
        <v>0.22</v>
      </c>
      <c r="D76" s="9" t="n">
        <f aca="false">CEILING(C76,0.5)</f>
        <v>0.5</v>
      </c>
      <c r="E76" s="9" t="n">
        <f aca="false">VALUE('Courier Invoice'!C76)</f>
        <v>0.2</v>
      </c>
      <c r="F76" s="9" t="n">
        <f aca="false">CEILING(E76,0.5)</f>
        <v>0.5</v>
      </c>
      <c r="G76" s="8" t="str">
        <f aca="false">INDEX('Pincode Zones'!$C:$C,MATCH('Courier Invoice'!D76&amp;"-"&amp;'Courier Invoice'!E76,'Pincode Zones'!$D:$D,0))</f>
        <v>b</v>
      </c>
      <c r="H76" s="8" t="str">
        <f aca="false">'Courier Invoice'!F76</f>
        <v>d</v>
      </c>
      <c r="I76" s="9" t="n">
        <f aca="false">(INDEX('Courier Rates'!$1:$2,2,MATCH("fwd_"&amp;$G76&amp;"_fixed",'Courier Rates'!$1:$1,0))+INDEX('Courier Rates'!$1:$2,2,MATCH("fwd_"&amp;$G76&amp;"_additional",'Courier Rates'!$1:$1,0))*MAX(0,(D76-0.5)/0.5))+IF(ISNUMBER(SEARCH("rto",'Courier Invoice'!G76)),(INDEX('Courier Rates'!$1:$2,2,MATCH("rto_"&amp;$G76&amp;"_fixed",'Courier Rates'!$1:$1,0))+INDEX('Courier Rates'!$1:$2,2,MATCH("rto_"&amp;$G76&amp;"_additional",'Courier Rates'!$1:$1,0))*MAX(0,(D76-0.5)/0.5)),0)</f>
        <v>33</v>
      </c>
      <c r="J76" s="9" t="n">
        <f aca="false">VALUE('Courier Invoice'!H76)</f>
        <v>45.4</v>
      </c>
      <c r="K76" s="9" t="n">
        <f aca="false">ROUND(J76-I76,2)</f>
        <v>12.4</v>
      </c>
    </row>
    <row r="77" customFormat="false" ht="15" hidden="false" customHeight="true" outlineLevel="0" collapsed="false">
      <c r="A77" s="8" t="str">
        <f aca="false">'Courier Invoice'!B77</f>
        <v>2001816131</v>
      </c>
      <c r="B77" s="8" t="str">
        <f aca="false">'Courier Invoice'!A77</f>
        <v>1091119367193</v>
      </c>
      <c r="C77" s="9" t="n">
        <f aca="false">SUMIF('Order Report'!$A:$A,$A77,'Order Report'!$D:$D)/1000</f>
        <v>0.554</v>
      </c>
      <c r="D77" s="9" t="n">
        <f aca="false">CEILING(C77,0.5)</f>
        <v>1</v>
      </c>
      <c r="E77" s="9" t="n">
        <f aca="false">VALUE('Courier Invoice'!C77)</f>
        <v>0.7</v>
      </c>
      <c r="F77" s="9" t="n">
        <f aca="false">CEILING(E77,0.5)</f>
        <v>1</v>
      </c>
      <c r="G77" s="8" t="str">
        <f aca="false">INDEX('Pincode Zones'!$C:$C,MATCH('Courier Invoice'!D77&amp;"-"&amp;'Courier Invoice'!E77,'Pincode Zones'!$D:$D,0))</f>
        <v>b</v>
      </c>
      <c r="H77" s="8" t="str">
        <f aca="false">'Courier Invoice'!F77</f>
        <v>d</v>
      </c>
      <c r="I77" s="9" t="n">
        <f aca="false">(INDEX('Courier Rates'!$1:$2,2,MATCH("fwd_"&amp;$G77&amp;"_fixed",'Courier Rates'!$1:$1,0))+INDEX('Courier Rates'!$1:$2,2,MATCH("fwd_"&amp;$G77&amp;"_additional",'Courier Rates'!$1:$1,0))*MAX(0,(D77-0.5)/0.5))+IF(ISNUMBER(SEARCH("rto",'Courier Invoice'!G77)),(INDEX('Courier Rates'!$1:$2,2,MATCH("rto_"&amp;$G77&amp;"_fixed",'Courier Rates'!$1:$1,0))+INDEX('Courier Rates'!$1:$2,2,MATCH("rto_"&amp;$G77&amp;"_additional",'Courier Rates'!$1:$1,0))*MAX(0,(D77-0.5)/0.5)),0)</f>
        <v>61.3</v>
      </c>
      <c r="J77" s="9" t="n">
        <f aca="false">VALUE('Courier Invoice'!H77)</f>
        <v>90.2</v>
      </c>
      <c r="K77" s="9" t="n">
        <f aca="false">ROUND(J77-I77,2)</f>
        <v>28.9</v>
      </c>
    </row>
    <row r="78" customFormat="false" ht="15" hidden="false" customHeight="true" outlineLevel="0" collapsed="false">
      <c r="A78" s="8" t="str">
        <f aca="false">'Courier Invoice'!B78</f>
        <v>2001816996</v>
      </c>
      <c r="B78" s="8" t="str">
        <f aca="false">'Courier Invoice'!A78</f>
        <v>1091119429202</v>
      </c>
      <c r="C78" s="9" t="n">
        <f aca="false">SUMIF('Order Report'!$A:$A,$A78,'Order Report'!$D:$D)/1000</f>
        <v>0.5</v>
      </c>
      <c r="D78" s="9" t="n">
        <f aca="false">CEILING(C78,0.5)</f>
        <v>0.5</v>
      </c>
      <c r="E78" s="9" t="n">
        <f aca="false">VALUE('Courier Invoice'!C78)</f>
        <v>0.5</v>
      </c>
      <c r="F78" s="9" t="n">
        <f aca="false">CEILING(E78,0.5)</f>
        <v>0.5</v>
      </c>
      <c r="G78" s="8" t="str">
        <f aca="false">INDEX('Pincode Zones'!$C:$C,MATCH('Courier Invoice'!D78&amp;"-"&amp;'Courier Invoice'!E78,'Pincode Zones'!$D:$D,0))</f>
        <v>b</v>
      </c>
      <c r="H78" s="8" t="str">
        <f aca="false">'Courier Invoice'!F78</f>
        <v>d</v>
      </c>
      <c r="I78" s="9" t="n">
        <f aca="false">(INDEX('Courier Rates'!$1:$2,2,MATCH("fwd_"&amp;$G78&amp;"_fixed",'Courier Rates'!$1:$1,0))+INDEX('Courier Rates'!$1:$2,2,MATCH("fwd_"&amp;$G78&amp;"_additional",'Courier Rates'!$1:$1,0))*MAX(0,(D78-0.5)/0.5))+IF(ISNUMBER(SEARCH("rto",'Courier Invoice'!G78)),(INDEX('Courier Rates'!$1:$2,2,MATCH("rto_"&amp;$G78&amp;"_fixed",'Courier Rates'!$1:$1,0))+INDEX('Courier Rates'!$1:$2,2,MATCH("rto_"&amp;$G78&amp;"_additional",'Courier Rates'!$1:$1,0))*MAX(0,(D78-0.5)/0.5)),0)</f>
        <v>33</v>
      </c>
      <c r="J78" s="9" t="n">
        <f aca="false">VALUE('Courier Invoice'!H78)</f>
        <v>45.4</v>
      </c>
      <c r="K78" s="9" t="n">
        <f aca="false">ROUND(J78-I78,2)</f>
        <v>12.4</v>
      </c>
    </row>
    <row r="79" customFormat="false" ht="15" hidden="false" customHeight="true" outlineLevel="0" collapsed="false">
      <c r="A79" s="8" t="str">
        <f aca="false">'Courier Invoice'!B79</f>
        <v>2001821185</v>
      </c>
      <c r="B79" s="8" t="str">
        <f aca="false">'Courier Invoice'!A79</f>
        <v>1091120959225</v>
      </c>
      <c r="C79" s="9" t="n">
        <f aca="false">SUMIF('Order Report'!$A:$A,$A79,'Order Report'!$D:$D)/1000</f>
        <v>2.098</v>
      </c>
      <c r="D79" s="9" t="n">
        <f aca="false">CEILING(C79,0.5)</f>
        <v>2.5</v>
      </c>
      <c r="E79" s="9" t="n">
        <f aca="false">VALUE('Courier Invoice'!C79)</f>
        <v>2.1</v>
      </c>
      <c r="F79" s="9" t="n">
        <f aca="false">CEILING(E79,0.5)</f>
        <v>2.5</v>
      </c>
      <c r="G79" s="8" t="str">
        <f aca="false">INDEX('Pincode Zones'!$C:$C,MATCH('Courier Invoice'!D79&amp;"-"&amp;'Courier Invoice'!E79,'Pincode Zones'!$D:$D,0))</f>
        <v>b</v>
      </c>
      <c r="H79" s="8" t="str">
        <f aca="false">'Courier Invoice'!F79</f>
        <v>d</v>
      </c>
      <c r="I79" s="9" t="n">
        <f aca="false">(INDEX('Courier Rates'!$1:$2,2,MATCH("fwd_"&amp;$G79&amp;"_fixed",'Courier Rates'!$1:$1,0))+INDEX('Courier Rates'!$1:$2,2,MATCH("fwd_"&amp;$G79&amp;"_additional",'Courier Rates'!$1:$1,0))*MAX(0,(D79-0.5)/0.5))+IF(ISNUMBER(SEARCH("rto",'Courier Invoice'!G79)),(INDEX('Courier Rates'!$1:$2,2,MATCH("rto_"&amp;$G79&amp;"_fixed",'Courier Rates'!$1:$1,0))+INDEX('Courier Rates'!$1:$2,2,MATCH("rto_"&amp;$G79&amp;"_additional",'Courier Rates'!$1:$1,0))*MAX(0,(D79-0.5)/0.5)),0)</f>
        <v>146.2</v>
      </c>
      <c r="J79" s="9" t="n">
        <f aca="false">VALUE('Courier Invoice'!H79)</f>
        <v>224.6</v>
      </c>
      <c r="K79" s="9" t="n">
        <f aca="false">ROUND(J79-I79,2)</f>
        <v>78.4</v>
      </c>
    </row>
    <row r="80" customFormat="false" ht="15" hidden="false" customHeight="true" outlineLevel="0" collapsed="false">
      <c r="A80" s="8" t="str">
        <f aca="false">'Courier Invoice'!B80</f>
        <v>2001821284</v>
      </c>
      <c r="B80" s="8" t="str">
        <f aca="false">'Courier Invoice'!A80</f>
        <v>1091120962515</v>
      </c>
      <c r="C80" s="9" t="n">
        <f aca="false">SUMIF('Order Report'!$A:$A,$A80,'Order Report'!$D:$D)/1000</f>
        <v>0.177</v>
      </c>
      <c r="D80" s="9" t="n">
        <f aca="false">CEILING(C80,0.5)</f>
        <v>0.5</v>
      </c>
      <c r="E80" s="9" t="n">
        <f aca="false">VALUE('Courier Invoice'!C80)</f>
        <v>0.2</v>
      </c>
      <c r="F80" s="9" t="n">
        <f aca="false">CEILING(E80,0.5)</f>
        <v>0.5</v>
      </c>
      <c r="G80" s="8" t="str">
        <f aca="false">INDEX('Pincode Zones'!$C:$C,MATCH('Courier Invoice'!D80&amp;"-"&amp;'Courier Invoice'!E80,'Pincode Zones'!$D:$D,0))</f>
        <v>b</v>
      </c>
      <c r="H80" s="8" t="str">
        <f aca="false">'Courier Invoice'!F80</f>
        <v>d</v>
      </c>
      <c r="I80" s="9" t="n">
        <f aca="false">(INDEX('Courier Rates'!$1:$2,2,MATCH("fwd_"&amp;$G80&amp;"_fixed",'Courier Rates'!$1:$1,0))+INDEX('Courier Rates'!$1:$2,2,MATCH("fwd_"&amp;$G80&amp;"_additional",'Courier Rates'!$1:$1,0))*MAX(0,(D80-0.5)/0.5))+IF(ISNUMBER(SEARCH("rto",'Courier Invoice'!G80)),(INDEX('Courier Rates'!$1:$2,2,MATCH("rto_"&amp;$G80&amp;"_fixed",'Courier Rates'!$1:$1,0))+INDEX('Courier Rates'!$1:$2,2,MATCH("rto_"&amp;$G80&amp;"_additional",'Courier Rates'!$1:$1,0))*MAX(0,(D80-0.5)/0.5)),0)</f>
        <v>33</v>
      </c>
      <c r="J80" s="9" t="n">
        <f aca="false">VALUE('Courier Invoice'!H80)</f>
        <v>45.4</v>
      </c>
      <c r="K80" s="9" t="n">
        <f aca="false">ROUND(J80-I80,2)</f>
        <v>12.4</v>
      </c>
    </row>
    <row r="81" customFormat="false" ht="15" hidden="false" customHeight="true" outlineLevel="0" collapsed="false">
      <c r="A81" s="8" t="str">
        <f aca="false">'Courier Invoice'!B81</f>
        <v>2001821679</v>
      </c>
      <c r="B81" s="8" t="str">
        <f aca="false">'Courier Invoice'!A81</f>
        <v>1091121031745</v>
      </c>
      <c r="C81" s="9" t="n">
        <f aca="false">SUMIF('Order Report'!$A:$A,$A81,'Order Report'!$D:$D)/1000</f>
        <v>0.165</v>
      </c>
      <c r="D81" s="9" t="n">
        <f aca="false">CEILING(C81,0.5)</f>
        <v>0.5</v>
      </c>
      <c r="E81" s="9" t="n">
        <f aca="false">VALUE('Courier Invoice'!C81)</f>
        <v>0.2</v>
      </c>
      <c r="F81" s="9" t="n">
        <f aca="false">CEILING(E81,0.5)</f>
        <v>0.5</v>
      </c>
      <c r="G81" s="8" t="str">
        <f aca="false">INDEX('Pincode Zones'!$C:$C,MATCH('Courier Invoice'!D81&amp;"-"&amp;'Courier Invoice'!E81,'Pincode Zones'!$D:$D,0))</f>
        <v>b</v>
      </c>
      <c r="H81" s="8" t="str">
        <f aca="false">'Courier Invoice'!F81</f>
        <v>d</v>
      </c>
      <c r="I81" s="9" t="n">
        <f aca="false">(INDEX('Courier Rates'!$1:$2,2,MATCH("fwd_"&amp;$G81&amp;"_fixed",'Courier Rates'!$1:$1,0))+INDEX('Courier Rates'!$1:$2,2,MATCH("fwd_"&amp;$G81&amp;"_additional",'Courier Rates'!$1:$1,0))*MAX(0,(D81-0.5)/0.5))+IF(ISNUMBER(SEARCH("rto",'Courier Invoice'!G81)),(INDEX('Courier Rates'!$1:$2,2,MATCH("rto_"&amp;$G81&amp;"_fixed",'Courier Rates'!$1:$1,0))+INDEX('Courier Rates'!$1:$2,2,MATCH("rto_"&amp;$G81&amp;"_additional",'Courier Rates'!$1:$1,0))*MAX(0,(D81-0.5)/0.5)),0)</f>
        <v>33</v>
      </c>
      <c r="J81" s="9" t="n">
        <f aca="false">VALUE('Courier Invoice'!H81)</f>
        <v>45.4</v>
      </c>
      <c r="K81" s="9" t="n">
        <f aca="false">ROUND(J81-I81,2)</f>
        <v>12.4</v>
      </c>
    </row>
    <row r="82" customFormat="false" ht="15" hidden="false" customHeight="true" outlineLevel="0" collapsed="false">
      <c r="A82" s="8" t="str">
        <f aca="false">'Courier Invoice'!B82</f>
        <v>2001821742</v>
      </c>
      <c r="B82" s="8" t="str">
        <f aca="false">'Courier Invoice'!A82</f>
        <v>1091121034114</v>
      </c>
      <c r="C82" s="9" t="n">
        <f aca="false">SUMIF('Order Report'!$A:$A,$A82,'Order Report'!$D:$D)/1000</f>
        <v>0.24</v>
      </c>
      <c r="D82" s="9" t="n">
        <f aca="false">CEILING(C82,0.5)</f>
        <v>0.5</v>
      </c>
      <c r="E82" s="9" t="n">
        <f aca="false">VALUE('Courier Invoice'!C82)</f>
        <v>0.15</v>
      </c>
      <c r="F82" s="9" t="n">
        <f aca="false">CEILING(E82,0.5)</f>
        <v>0.5</v>
      </c>
      <c r="G82" s="8" t="str">
        <f aca="false">INDEX('Pincode Zones'!$C:$C,MATCH('Courier Invoice'!D82&amp;"-"&amp;'Courier Invoice'!E82,'Pincode Zones'!$D:$D,0))</f>
        <v>b</v>
      </c>
      <c r="H82" s="8" t="str">
        <f aca="false">'Courier Invoice'!F82</f>
        <v>d</v>
      </c>
      <c r="I82" s="9" t="n">
        <f aca="false">(INDEX('Courier Rates'!$1:$2,2,MATCH("fwd_"&amp;$G82&amp;"_fixed",'Courier Rates'!$1:$1,0))+INDEX('Courier Rates'!$1:$2,2,MATCH("fwd_"&amp;$G82&amp;"_additional",'Courier Rates'!$1:$1,0))*MAX(0,(D82-0.5)/0.5))+IF(ISNUMBER(SEARCH("rto",'Courier Invoice'!G82)),(INDEX('Courier Rates'!$1:$2,2,MATCH("rto_"&amp;$G82&amp;"_fixed",'Courier Rates'!$1:$1,0))+INDEX('Courier Rates'!$1:$2,2,MATCH("rto_"&amp;$G82&amp;"_additional",'Courier Rates'!$1:$1,0))*MAX(0,(D82-0.5)/0.5)),0)</f>
        <v>33</v>
      </c>
      <c r="J82" s="9" t="n">
        <f aca="false">VALUE('Courier Invoice'!H82)</f>
        <v>45.4</v>
      </c>
      <c r="K82" s="9" t="n">
        <f aca="false">ROUND(J82-I82,2)</f>
        <v>12.4</v>
      </c>
    </row>
    <row r="83" customFormat="false" ht="15" hidden="false" customHeight="true" outlineLevel="0" collapsed="false">
      <c r="A83" s="8" t="str">
        <f aca="false">'Courier Invoice'!B83</f>
        <v>2001821750</v>
      </c>
      <c r="B83" s="8" t="str">
        <f aca="false">'Courier Invoice'!A83</f>
        <v>1091121034350</v>
      </c>
      <c r="C83" s="9" t="n">
        <f aca="false">SUMIF('Order Report'!$A:$A,$A83,'Order Report'!$D:$D)/1000</f>
        <v>0.755</v>
      </c>
      <c r="D83" s="9" t="n">
        <f aca="false">CEILING(C83,0.5)</f>
        <v>1</v>
      </c>
      <c r="E83" s="9" t="n">
        <f aca="false">VALUE('Courier Invoice'!C83)</f>
        <v>0.8</v>
      </c>
      <c r="F83" s="9" t="n">
        <f aca="false">CEILING(E83,0.5)</f>
        <v>1</v>
      </c>
      <c r="G83" s="8" t="str">
        <f aca="false">INDEX('Pincode Zones'!$C:$C,MATCH('Courier Invoice'!D83&amp;"-"&amp;'Courier Invoice'!E83,'Pincode Zones'!$D:$D,0))</f>
        <v>b</v>
      </c>
      <c r="H83" s="8" t="str">
        <f aca="false">'Courier Invoice'!F83</f>
        <v>d</v>
      </c>
      <c r="I83" s="9" t="n">
        <f aca="false">(INDEX('Courier Rates'!$1:$2,2,MATCH("fwd_"&amp;$G83&amp;"_fixed",'Courier Rates'!$1:$1,0))+INDEX('Courier Rates'!$1:$2,2,MATCH("fwd_"&amp;$G83&amp;"_additional",'Courier Rates'!$1:$1,0))*MAX(0,(D83-0.5)/0.5))+IF(ISNUMBER(SEARCH("rto",'Courier Invoice'!G83)),(INDEX('Courier Rates'!$1:$2,2,MATCH("rto_"&amp;$G83&amp;"_fixed",'Courier Rates'!$1:$1,0))+INDEX('Courier Rates'!$1:$2,2,MATCH("rto_"&amp;$G83&amp;"_additional",'Courier Rates'!$1:$1,0))*MAX(0,(D83-0.5)/0.5)),0)</f>
        <v>61.3</v>
      </c>
      <c r="J83" s="9" t="n">
        <f aca="false">VALUE('Courier Invoice'!H83)</f>
        <v>90.2</v>
      </c>
      <c r="K83" s="9" t="n">
        <f aca="false">ROUND(J83-I83,2)</f>
        <v>28.9</v>
      </c>
    </row>
    <row r="84" customFormat="false" ht="15" hidden="false" customHeight="true" outlineLevel="0" collapsed="false">
      <c r="A84" s="8" t="str">
        <f aca="false">'Courier Invoice'!B84</f>
        <v>2001821766</v>
      </c>
      <c r="B84" s="8" t="str">
        <f aca="false">'Courier Invoice'!A84</f>
        <v>1091121034641</v>
      </c>
      <c r="C84" s="9" t="n">
        <f aca="false">SUMIF('Order Report'!$A:$A,$A84,'Order Report'!$D:$D)/1000</f>
        <v>0.24</v>
      </c>
      <c r="D84" s="9" t="n">
        <f aca="false">CEILING(C84,0.5)</f>
        <v>0.5</v>
      </c>
      <c r="E84" s="9" t="n">
        <f aca="false">VALUE('Courier Invoice'!C84)</f>
        <v>0.2</v>
      </c>
      <c r="F84" s="9" t="n">
        <f aca="false">CEILING(E84,0.5)</f>
        <v>0.5</v>
      </c>
      <c r="G84" s="8" t="str">
        <f aca="false">INDEX('Pincode Zones'!$C:$C,MATCH('Courier Invoice'!D84&amp;"-"&amp;'Courier Invoice'!E84,'Pincode Zones'!$D:$D,0))</f>
        <v>b</v>
      </c>
      <c r="H84" s="8" t="str">
        <f aca="false">'Courier Invoice'!F84</f>
        <v>d</v>
      </c>
      <c r="I84" s="9" t="n">
        <f aca="false">(INDEX('Courier Rates'!$1:$2,2,MATCH("fwd_"&amp;$G84&amp;"_fixed",'Courier Rates'!$1:$1,0))+INDEX('Courier Rates'!$1:$2,2,MATCH("fwd_"&amp;$G84&amp;"_additional",'Courier Rates'!$1:$1,0))*MAX(0,(D84-0.5)/0.5))+IF(ISNUMBER(SEARCH("rto",'Courier Invoice'!G84)),(INDEX('Courier Rates'!$1:$2,2,MATCH("rto_"&amp;$G84&amp;"_fixed",'Courier Rates'!$1:$1,0))+INDEX('Courier Rates'!$1:$2,2,MATCH("rto_"&amp;$G84&amp;"_additional",'Courier Rates'!$1:$1,0))*MAX(0,(D84-0.5)/0.5)),0)</f>
        <v>33</v>
      </c>
      <c r="J84" s="9" t="n">
        <f aca="false">VALUE('Courier Invoice'!H84)</f>
        <v>45.4</v>
      </c>
      <c r="K84" s="9" t="n">
        <f aca="false">ROUND(J84-I84,2)</f>
        <v>12.4</v>
      </c>
    </row>
    <row r="85" customFormat="false" ht="15" hidden="false" customHeight="true" outlineLevel="0" collapsed="false">
      <c r="A85" s="8" t="str">
        <f aca="false">'Courier Invoice'!B85</f>
        <v>2001821995</v>
      </c>
      <c r="B85" s="8" t="str">
        <f aca="false">'Courier Invoice'!A85</f>
        <v>1091121183730</v>
      </c>
      <c r="C85" s="9" t="n">
        <f aca="false">SUMIF('Order Report'!$A:$A,$A85,'Order Report'!$D:$D)/1000</f>
        <v>0.477</v>
      </c>
      <c r="D85" s="9" t="n">
        <f aca="false">CEILING(C85,0.5)</f>
        <v>0.5</v>
      </c>
      <c r="E85" s="9" t="n">
        <f aca="false">VALUE('Courier Invoice'!C85)</f>
        <v>0.5</v>
      </c>
      <c r="F85" s="9" t="n">
        <f aca="false">CEILING(E85,0.5)</f>
        <v>0.5</v>
      </c>
      <c r="G85" s="8" t="str">
        <f aca="false">INDEX('Pincode Zones'!$C:$C,MATCH('Courier Invoice'!D85&amp;"-"&amp;'Courier Invoice'!E85,'Pincode Zones'!$D:$D,0))</f>
        <v>b</v>
      </c>
      <c r="H85" s="8" t="str">
        <f aca="false">'Courier Invoice'!F85</f>
        <v>d</v>
      </c>
      <c r="I85" s="9" t="n">
        <f aca="false">(INDEX('Courier Rates'!$1:$2,2,MATCH("fwd_"&amp;$G85&amp;"_fixed",'Courier Rates'!$1:$1,0))+INDEX('Courier Rates'!$1:$2,2,MATCH("fwd_"&amp;$G85&amp;"_additional",'Courier Rates'!$1:$1,0))*MAX(0,(D85-0.5)/0.5))+IF(ISNUMBER(SEARCH("rto",'Courier Invoice'!G85)),(INDEX('Courier Rates'!$1:$2,2,MATCH("rto_"&amp;$G85&amp;"_fixed",'Courier Rates'!$1:$1,0))+INDEX('Courier Rates'!$1:$2,2,MATCH("rto_"&amp;$G85&amp;"_additional",'Courier Rates'!$1:$1,0))*MAX(0,(D85-0.5)/0.5)),0)</f>
        <v>33</v>
      </c>
      <c r="J85" s="9" t="n">
        <f aca="false">VALUE('Courier Invoice'!H85)</f>
        <v>45.4</v>
      </c>
      <c r="K85" s="9" t="n">
        <f aca="false">ROUND(J85-I85,2)</f>
        <v>12.4</v>
      </c>
    </row>
    <row r="86" customFormat="false" ht="15" hidden="false" customHeight="true" outlineLevel="0" collapsed="false">
      <c r="A86" s="8" t="str">
        <f aca="false">'Courier Invoice'!B86</f>
        <v>2001821502</v>
      </c>
      <c r="B86" s="8" t="str">
        <f aca="false">'Courier Invoice'!A86</f>
        <v>1091121185863</v>
      </c>
      <c r="C86" s="9" t="n">
        <f aca="false">SUMIF('Order Report'!$A:$A,$A86,'Order Report'!$D:$D)/1000</f>
        <v>0.558</v>
      </c>
      <c r="D86" s="9" t="n">
        <f aca="false">CEILING(C86,0.5)</f>
        <v>1</v>
      </c>
      <c r="E86" s="9" t="n">
        <f aca="false">VALUE('Courier Invoice'!C86)</f>
        <v>0.6</v>
      </c>
      <c r="F86" s="9" t="n">
        <f aca="false">CEILING(E86,0.5)</f>
        <v>1</v>
      </c>
      <c r="G86" s="8" t="str">
        <f aca="false">INDEX('Pincode Zones'!$C:$C,MATCH('Courier Invoice'!D86&amp;"-"&amp;'Courier Invoice'!E86,'Pincode Zones'!$D:$D,0))</f>
        <v>b</v>
      </c>
      <c r="H86" s="8" t="str">
        <f aca="false">'Courier Invoice'!F86</f>
        <v>d</v>
      </c>
      <c r="I86" s="9" t="n">
        <f aca="false">(INDEX('Courier Rates'!$1:$2,2,MATCH("fwd_"&amp;$G86&amp;"_fixed",'Courier Rates'!$1:$1,0))+INDEX('Courier Rates'!$1:$2,2,MATCH("fwd_"&amp;$G86&amp;"_additional",'Courier Rates'!$1:$1,0))*MAX(0,(D86-0.5)/0.5))+IF(ISNUMBER(SEARCH("rto",'Courier Invoice'!G86)),(INDEX('Courier Rates'!$1:$2,2,MATCH("rto_"&amp;$G86&amp;"_fixed",'Courier Rates'!$1:$1,0))+INDEX('Courier Rates'!$1:$2,2,MATCH("rto_"&amp;$G86&amp;"_additional",'Courier Rates'!$1:$1,0))*MAX(0,(D86-0.5)/0.5)),0)</f>
        <v>61.3</v>
      </c>
      <c r="J86" s="9" t="n">
        <f aca="false">VALUE('Courier Invoice'!H86)</f>
        <v>90.2</v>
      </c>
      <c r="K86" s="9" t="n">
        <f aca="false">ROUND(J86-I86,2)</f>
        <v>28.9</v>
      </c>
    </row>
    <row r="87" customFormat="false" ht="15" hidden="false" customHeight="true" outlineLevel="0" collapsed="false">
      <c r="A87" s="8" t="str">
        <f aca="false">'Courier Invoice'!B87</f>
        <v>2001822466</v>
      </c>
      <c r="B87" s="8" t="str">
        <f aca="false">'Courier Invoice'!A87</f>
        <v>1091121305541</v>
      </c>
      <c r="C87" s="9" t="n">
        <f aca="false">SUMIF('Order Report'!$A:$A,$A87,'Order Report'!$D:$D)/1000</f>
        <v>1.376</v>
      </c>
      <c r="D87" s="9" t="n">
        <f aca="false">CEILING(C87,0.5)</f>
        <v>1.5</v>
      </c>
      <c r="E87" s="9" t="n">
        <f aca="false">VALUE('Courier Invoice'!C87)</f>
        <v>1.1</v>
      </c>
      <c r="F87" s="9" t="n">
        <f aca="false">CEILING(E87,0.5)</f>
        <v>1.5</v>
      </c>
      <c r="G87" s="8" t="str">
        <f aca="false">INDEX('Pincode Zones'!$C:$C,MATCH('Courier Invoice'!D87&amp;"-"&amp;'Courier Invoice'!E87,'Pincode Zones'!$D:$D,0))</f>
        <v>b</v>
      </c>
      <c r="H87" s="8" t="str">
        <f aca="false">'Courier Invoice'!F87</f>
        <v>d</v>
      </c>
      <c r="I87" s="9" t="n">
        <f aca="false">(INDEX('Courier Rates'!$1:$2,2,MATCH("fwd_"&amp;$G87&amp;"_fixed",'Courier Rates'!$1:$1,0))+INDEX('Courier Rates'!$1:$2,2,MATCH("fwd_"&amp;$G87&amp;"_additional",'Courier Rates'!$1:$1,0))*MAX(0,(D87-0.5)/0.5))+IF(ISNUMBER(SEARCH("rto",'Courier Invoice'!G87)),(INDEX('Courier Rates'!$1:$2,2,MATCH("rto_"&amp;$G87&amp;"_fixed",'Courier Rates'!$1:$1,0))+INDEX('Courier Rates'!$1:$2,2,MATCH("rto_"&amp;$G87&amp;"_additional",'Courier Rates'!$1:$1,0))*MAX(0,(D87-0.5)/0.5)),0)</f>
        <v>89.6</v>
      </c>
      <c r="J87" s="9" t="n">
        <f aca="false">VALUE('Courier Invoice'!H87)</f>
        <v>135</v>
      </c>
      <c r="K87" s="9" t="n">
        <f aca="false">ROUND(J87-I87,2)</f>
        <v>45.4</v>
      </c>
    </row>
    <row r="88" customFormat="false" ht="15" hidden="false" customHeight="true" outlineLevel="0" collapsed="false">
      <c r="A88" s="8" t="str">
        <f aca="false">'Courier Invoice'!B88</f>
        <v>2001820690</v>
      </c>
      <c r="B88" s="8" t="str">
        <f aca="false">'Courier Invoice'!A88</f>
        <v>1091121306101</v>
      </c>
      <c r="C88" s="9" t="n">
        <f aca="false">SUMIF('Order Report'!$A:$A,$A88,'Order Report'!$D:$D)/1000</f>
        <v>0.065</v>
      </c>
      <c r="D88" s="9" t="n">
        <f aca="false">CEILING(C88,0.5)</f>
        <v>0.5</v>
      </c>
      <c r="E88" s="9" t="n">
        <f aca="false">VALUE('Courier Invoice'!C88)</f>
        <v>0.15</v>
      </c>
      <c r="F88" s="9" t="n">
        <f aca="false">CEILING(E88,0.5)</f>
        <v>0.5</v>
      </c>
      <c r="G88" s="8" t="str">
        <f aca="false">INDEX('Pincode Zones'!$C:$C,MATCH('Courier Invoice'!D88&amp;"-"&amp;'Courier Invoice'!E88,'Pincode Zones'!$D:$D,0))</f>
        <v>b</v>
      </c>
      <c r="H88" s="8" t="str">
        <f aca="false">'Courier Invoice'!F88</f>
        <v>d</v>
      </c>
      <c r="I88" s="9" t="n">
        <f aca="false">(INDEX('Courier Rates'!$1:$2,2,MATCH("fwd_"&amp;$G88&amp;"_fixed",'Courier Rates'!$1:$1,0))+INDEX('Courier Rates'!$1:$2,2,MATCH("fwd_"&amp;$G88&amp;"_additional",'Courier Rates'!$1:$1,0))*MAX(0,(D88-0.5)/0.5))+IF(ISNUMBER(SEARCH("rto",'Courier Invoice'!G88)),(INDEX('Courier Rates'!$1:$2,2,MATCH("rto_"&amp;$G88&amp;"_fixed",'Courier Rates'!$1:$1,0))+INDEX('Courier Rates'!$1:$2,2,MATCH("rto_"&amp;$G88&amp;"_additional",'Courier Rates'!$1:$1,0))*MAX(0,(D88-0.5)/0.5)),0)</f>
        <v>33</v>
      </c>
      <c r="J88" s="9" t="n">
        <f aca="false">VALUE('Courier Invoice'!H88)</f>
        <v>45.4</v>
      </c>
      <c r="K88" s="9" t="n">
        <f aca="false">ROUND(J88-I88,2)</f>
        <v>12.4</v>
      </c>
    </row>
    <row r="89" customFormat="false" ht="15" hidden="false" customHeight="true" outlineLevel="0" collapsed="false">
      <c r="A89" s="8" t="str">
        <f aca="false">'Courier Invoice'!B89</f>
        <v>2001811604</v>
      </c>
      <c r="B89" s="8" t="str">
        <f aca="false">'Courier Invoice'!A89</f>
        <v>1091118004245</v>
      </c>
      <c r="C89" s="9" t="n">
        <f aca="false">SUMIF('Order Report'!$A:$A,$A89,'Order Report'!$D:$D)/1000</f>
        <v>0.721</v>
      </c>
      <c r="D89" s="9" t="n">
        <f aca="false">CEILING(C89,0.5)</f>
        <v>1</v>
      </c>
      <c r="E89" s="9" t="n">
        <f aca="false">VALUE('Courier Invoice'!C89)</f>
        <v>0.8</v>
      </c>
      <c r="F89" s="9" t="n">
        <f aca="false">CEILING(E89,0.5)</f>
        <v>1</v>
      </c>
      <c r="G89" s="8" t="str">
        <f aca="false">INDEX('Pincode Zones'!$C:$C,MATCH('Courier Invoice'!D89&amp;"-"&amp;'Courier Invoice'!E89,'Pincode Zones'!$D:$D,0))</f>
        <v>e</v>
      </c>
      <c r="H89" s="8" t="str">
        <f aca="false">'Courier Invoice'!F89</f>
        <v>b</v>
      </c>
      <c r="I89" s="9" t="n">
        <f aca="false">(INDEX('Courier Rates'!$1:$2,2,MATCH("fwd_"&amp;$G89&amp;"_fixed",'Courier Rates'!$1:$1,0))+INDEX('Courier Rates'!$1:$2,2,MATCH("fwd_"&amp;$G89&amp;"_additional",'Courier Rates'!$1:$1,0))*MAX(0,(D89-0.5)/0.5))+IF(ISNUMBER(SEARCH("rto",'Courier Invoice'!G89)),(INDEX('Courier Rates'!$1:$2,2,MATCH("rto_"&amp;$G89&amp;"_fixed",'Courier Rates'!$1:$1,0))+INDEX('Courier Rates'!$1:$2,2,MATCH("rto_"&amp;$G89&amp;"_additional",'Courier Rates'!$1:$1,0))*MAX(0,(D89-0.5)/0.5)),0)</f>
        <v>112.1</v>
      </c>
      <c r="J89" s="9" t="n">
        <f aca="false">VALUE('Courier Invoice'!H89)</f>
        <v>61.3</v>
      </c>
      <c r="K89" s="9" t="n">
        <f aca="false">ROUND(J89-I89,2)</f>
        <v>-50.8</v>
      </c>
    </row>
    <row r="90" customFormat="false" ht="15" hidden="false" customHeight="true" outlineLevel="0" collapsed="false">
      <c r="A90" s="8" t="str">
        <f aca="false">'Courier Invoice'!B90</f>
        <v>2001819252</v>
      </c>
      <c r="B90" s="8" t="str">
        <f aca="false">'Courier Invoice'!A90</f>
        <v>1091120352712</v>
      </c>
      <c r="C90" s="9" t="n">
        <f aca="false">SUMIF('Order Report'!$A:$A,$A90,'Order Report'!$D:$D)/1000</f>
        <v>0.27</v>
      </c>
      <c r="D90" s="9" t="n">
        <f aca="false">CEILING(C90,0.5)</f>
        <v>0.5</v>
      </c>
      <c r="E90" s="9" t="n">
        <f aca="false">VALUE('Courier Invoice'!C90)</f>
        <v>0.3</v>
      </c>
      <c r="F90" s="9" t="n">
        <f aca="false">CEILING(E90,0.5)</f>
        <v>0.5</v>
      </c>
      <c r="G90" s="8" t="str">
        <f aca="false">INDEX('Pincode Zones'!$C:$C,MATCH('Courier Invoice'!D90&amp;"-"&amp;'Courier Invoice'!E90,'Pincode Zones'!$D:$D,0))</f>
        <v>e</v>
      </c>
      <c r="H90" s="8" t="str">
        <f aca="false">'Courier Invoice'!F90</f>
        <v>b</v>
      </c>
      <c r="I90" s="9" t="n">
        <f aca="false">(INDEX('Courier Rates'!$1:$2,2,MATCH("fwd_"&amp;$G90&amp;"_fixed",'Courier Rates'!$1:$1,0))+INDEX('Courier Rates'!$1:$2,2,MATCH("fwd_"&amp;$G90&amp;"_additional",'Courier Rates'!$1:$1,0))*MAX(0,(D90-0.5)/0.5))+IF(ISNUMBER(SEARCH("rto",'Courier Invoice'!G90)),(INDEX('Courier Rates'!$1:$2,2,MATCH("rto_"&amp;$G90&amp;"_fixed",'Courier Rates'!$1:$1,0))+INDEX('Courier Rates'!$1:$2,2,MATCH("rto_"&amp;$G90&amp;"_additional",'Courier Rates'!$1:$1,0))*MAX(0,(D90-0.5)/0.5)),0)</f>
        <v>56.6</v>
      </c>
      <c r="J90" s="9" t="n">
        <f aca="false">VALUE('Courier Invoice'!H90)</f>
        <v>33</v>
      </c>
      <c r="K90" s="9" t="n">
        <f aca="false">ROUND(J90-I90,2)</f>
        <v>-23.6</v>
      </c>
    </row>
    <row r="91" customFormat="false" ht="15" hidden="false" customHeight="true" outlineLevel="0" collapsed="false">
      <c r="A91" s="8" t="str">
        <f aca="false">'Courier Invoice'!B91</f>
        <v>2001827036</v>
      </c>
      <c r="B91" s="8" t="str">
        <f aca="false">'Courier Invoice'!A91</f>
        <v>1091122418320</v>
      </c>
      <c r="C91" s="9" t="n">
        <f aca="false">SUMIF('Order Report'!$A:$A,$A91,'Order Report'!$D:$D)/1000</f>
        <v>1.676</v>
      </c>
      <c r="D91" s="9" t="n">
        <f aca="false">CEILING(C91,0.5)</f>
        <v>2</v>
      </c>
      <c r="E91" s="9" t="n">
        <f aca="false">VALUE('Courier Invoice'!C91)</f>
        <v>1.6</v>
      </c>
      <c r="F91" s="9" t="n">
        <f aca="false">CEILING(E91,0.5)</f>
        <v>2</v>
      </c>
      <c r="G91" s="8" t="str">
        <f aca="false">INDEX('Pincode Zones'!$C:$C,MATCH('Courier Invoice'!D91&amp;"-"&amp;'Courier Invoice'!E91,'Pincode Zones'!$D:$D,0))</f>
        <v>e</v>
      </c>
      <c r="H91" s="8" t="str">
        <f aca="false">'Courier Invoice'!F91</f>
        <v>b</v>
      </c>
      <c r="I91" s="9" t="n">
        <f aca="false">(INDEX('Courier Rates'!$1:$2,2,MATCH("fwd_"&amp;$G91&amp;"_fixed",'Courier Rates'!$1:$1,0))+INDEX('Courier Rates'!$1:$2,2,MATCH("fwd_"&amp;$G91&amp;"_additional",'Courier Rates'!$1:$1,0))*MAX(0,(D91-0.5)/0.5))+IF(ISNUMBER(SEARCH("rto",'Courier Invoice'!G91)),(INDEX('Courier Rates'!$1:$2,2,MATCH("rto_"&amp;$G91&amp;"_fixed",'Courier Rates'!$1:$1,0))+INDEX('Courier Rates'!$1:$2,2,MATCH("rto_"&amp;$G91&amp;"_additional",'Courier Rates'!$1:$1,0))*MAX(0,(D91-0.5)/0.5)),0)</f>
        <v>223.1</v>
      </c>
      <c r="J91" s="9" t="n">
        <f aca="false">VALUE('Courier Invoice'!H91)</f>
        <v>117.9</v>
      </c>
      <c r="K91" s="9" t="n">
        <f aca="false">ROUND(J91-I91,2)</f>
        <v>-105.2</v>
      </c>
    </row>
    <row r="92" customFormat="false" ht="15" hidden="false" customHeight="true" outlineLevel="0" collapsed="false">
      <c r="A92" s="8" t="str">
        <f aca="false">'Courier Invoice'!B92</f>
        <v>2001806304</v>
      </c>
      <c r="B92" s="8" t="str">
        <f aca="false">'Courier Invoice'!A92</f>
        <v>1091117222360</v>
      </c>
      <c r="C92" s="9" t="n">
        <f aca="false">SUMIF('Order Report'!$A:$A,$A92,'Order Report'!$D:$D)/1000</f>
        <v>0.5</v>
      </c>
      <c r="D92" s="9" t="n">
        <f aca="false">CEILING(C92,0.5)</f>
        <v>0.5</v>
      </c>
      <c r="E92" s="9" t="n">
        <f aca="false">VALUE('Courier Invoice'!C92)</f>
        <v>0.71</v>
      </c>
      <c r="F92" s="9" t="n">
        <f aca="false">CEILING(E92,0.5)</f>
        <v>1</v>
      </c>
      <c r="G92" s="8" t="str">
        <f aca="false">INDEX('Pincode Zones'!$C:$C,MATCH('Courier Invoice'!D92&amp;"-"&amp;'Courier Invoice'!E92,'Pincode Zones'!$D:$D,0))</f>
        <v>b</v>
      </c>
      <c r="H92" s="8" t="str">
        <f aca="false">'Courier Invoice'!F92</f>
        <v>d</v>
      </c>
      <c r="I92" s="9" t="n">
        <f aca="false">(INDEX('Courier Rates'!$1:$2,2,MATCH("fwd_"&amp;$G92&amp;"_fixed",'Courier Rates'!$1:$1,0))+INDEX('Courier Rates'!$1:$2,2,MATCH("fwd_"&amp;$G92&amp;"_additional",'Courier Rates'!$1:$1,0))*MAX(0,(D92-0.5)/0.5))+IF(ISNUMBER(SEARCH("rto",'Courier Invoice'!G92)),(INDEX('Courier Rates'!$1:$2,2,MATCH("rto_"&amp;$G92&amp;"_fixed",'Courier Rates'!$1:$1,0))+INDEX('Courier Rates'!$1:$2,2,MATCH("rto_"&amp;$G92&amp;"_additional",'Courier Rates'!$1:$1,0))*MAX(0,(D92-0.5)/0.5)),0)</f>
        <v>33</v>
      </c>
      <c r="J92" s="9" t="n">
        <f aca="false">VALUE('Courier Invoice'!H92)</f>
        <v>90.2</v>
      </c>
      <c r="K92" s="9" t="n">
        <f aca="false">ROUND(J92-I92,2)</f>
        <v>57.2</v>
      </c>
    </row>
    <row r="93" customFormat="false" ht="15" hidden="false" customHeight="true" outlineLevel="0" collapsed="false">
      <c r="A93" s="8" t="str">
        <f aca="false">'Courier Invoice'!B93</f>
        <v>2001806768</v>
      </c>
      <c r="B93" s="8" t="str">
        <f aca="false">'Courier Invoice'!A93</f>
        <v>1091117227116</v>
      </c>
      <c r="C93" s="9" t="n">
        <f aca="false">SUMIF('Order Report'!$A:$A,$A93,'Order Report'!$D:$D)/1000</f>
        <v>0.84</v>
      </c>
      <c r="D93" s="9" t="n">
        <f aca="false">CEILING(C93,0.5)</f>
        <v>1</v>
      </c>
      <c r="E93" s="9" t="n">
        <f aca="false">VALUE('Courier Invoice'!C93)</f>
        <v>1.02</v>
      </c>
      <c r="F93" s="9" t="n">
        <f aca="false">CEILING(E93,0.5)</f>
        <v>1.5</v>
      </c>
      <c r="G93" s="8" t="str">
        <f aca="false">INDEX('Pincode Zones'!$C:$C,MATCH('Courier Invoice'!D93&amp;"-"&amp;'Courier Invoice'!E93,'Pincode Zones'!$D:$D,0))</f>
        <v>b</v>
      </c>
      <c r="H93" s="8" t="str">
        <f aca="false">'Courier Invoice'!F93</f>
        <v>d</v>
      </c>
      <c r="I93" s="9" t="n">
        <f aca="false">(INDEX('Courier Rates'!$1:$2,2,MATCH("fwd_"&amp;$G93&amp;"_fixed",'Courier Rates'!$1:$1,0))+INDEX('Courier Rates'!$1:$2,2,MATCH("fwd_"&amp;$G93&amp;"_additional",'Courier Rates'!$1:$1,0))*MAX(0,(D93-0.5)/0.5))+IF(ISNUMBER(SEARCH("rto",'Courier Invoice'!G93)),(INDEX('Courier Rates'!$1:$2,2,MATCH("rto_"&amp;$G93&amp;"_fixed",'Courier Rates'!$1:$1,0))+INDEX('Courier Rates'!$1:$2,2,MATCH("rto_"&amp;$G93&amp;"_additional",'Courier Rates'!$1:$1,0))*MAX(0,(D93-0.5)/0.5)),0)</f>
        <v>61.3</v>
      </c>
      <c r="J93" s="9" t="n">
        <f aca="false">VALUE('Courier Invoice'!H93)</f>
        <v>135</v>
      </c>
      <c r="K93" s="9" t="n">
        <f aca="false">ROUND(J93-I93,2)</f>
        <v>73.7</v>
      </c>
    </row>
    <row r="94" customFormat="false" ht="15" hidden="false" customHeight="true" outlineLevel="0" collapsed="false">
      <c r="A94" s="8" t="str">
        <f aca="false">'Courier Invoice'!B94</f>
        <v>2001806823</v>
      </c>
      <c r="B94" s="8" t="str">
        <f aca="false">'Courier Invoice'!A94</f>
        <v>1091117228133</v>
      </c>
      <c r="C94" s="9" t="n">
        <f aca="false">SUMIF('Order Report'!$A:$A,$A94,'Order Report'!$D:$D)/1000</f>
        <v>0.127</v>
      </c>
      <c r="D94" s="9" t="n">
        <f aca="false">CEILING(C94,0.5)</f>
        <v>0.5</v>
      </c>
      <c r="E94" s="9" t="n">
        <f aca="false">VALUE('Courier Invoice'!C94)</f>
        <v>0.59</v>
      </c>
      <c r="F94" s="9" t="n">
        <f aca="false">CEILING(E94,0.5)</f>
        <v>1</v>
      </c>
      <c r="G94" s="8" t="str">
        <f aca="false">INDEX('Pincode Zones'!$C:$C,MATCH('Courier Invoice'!D94&amp;"-"&amp;'Courier Invoice'!E94,'Pincode Zones'!$D:$D,0))</f>
        <v>b</v>
      </c>
      <c r="H94" s="8" t="str">
        <f aca="false">'Courier Invoice'!F94</f>
        <v>d</v>
      </c>
      <c r="I94" s="9" t="n">
        <f aca="false">(INDEX('Courier Rates'!$1:$2,2,MATCH("fwd_"&amp;$G94&amp;"_fixed",'Courier Rates'!$1:$1,0))+INDEX('Courier Rates'!$1:$2,2,MATCH("fwd_"&amp;$G94&amp;"_additional",'Courier Rates'!$1:$1,0))*MAX(0,(D94-0.5)/0.5))+IF(ISNUMBER(SEARCH("rto",'Courier Invoice'!G94)),(INDEX('Courier Rates'!$1:$2,2,MATCH("rto_"&amp;$G94&amp;"_fixed",'Courier Rates'!$1:$1,0))+INDEX('Courier Rates'!$1:$2,2,MATCH("rto_"&amp;$G94&amp;"_additional",'Courier Rates'!$1:$1,0))*MAX(0,(D94-0.5)/0.5)),0)</f>
        <v>33</v>
      </c>
      <c r="J94" s="9" t="n">
        <f aca="false">VALUE('Courier Invoice'!H94)</f>
        <v>90.2</v>
      </c>
      <c r="K94" s="9" t="n">
        <f aca="false">ROUND(J94-I94,2)</f>
        <v>57.2</v>
      </c>
    </row>
    <row r="95" customFormat="false" ht="15" hidden="false" customHeight="true" outlineLevel="0" collapsed="false">
      <c r="A95" s="8" t="str">
        <f aca="false">'Courier Invoice'!B95</f>
        <v>2001806828</v>
      </c>
      <c r="B95" s="8" t="str">
        <f aca="false">'Courier Invoice'!A95</f>
        <v>1091117228192</v>
      </c>
      <c r="C95" s="9" t="n">
        <f aca="false">SUMIF('Order Report'!$A:$A,$A95,'Order Report'!$D:$D)/1000</f>
        <v>0.5</v>
      </c>
      <c r="D95" s="9" t="n">
        <f aca="false">CEILING(C95,0.5)</f>
        <v>0.5</v>
      </c>
      <c r="E95" s="9" t="n">
        <f aca="false">VALUE('Courier Invoice'!C95)</f>
        <v>0.69</v>
      </c>
      <c r="F95" s="9" t="n">
        <f aca="false">CEILING(E95,0.5)</f>
        <v>1</v>
      </c>
      <c r="G95" s="8" t="str">
        <f aca="false">INDEX('Pincode Zones'!$C:$C,MATCH('Courier Invoice'!D95&amp;"-"&amp;'Courier Invoice'!E95,'Pincode Zones'!$D:$D,0))</f>
        <v>b</v>
      </c>
      <c r="H95" s="8" t="str">
        <f aca="false">'Courier Invoice'!F95</f>
        <v>d</v>
      </c>
      <c r="I95" s="9" t="n">
        <f aca="false">(INDEX('Courier Rates'!$1:$2,2,MATCH("fwd_"&amp;$G95&amp;"_fixed",'Courier Rates'!$1:$1,0))+INDEX('Courier Rates'!$1:$2,2,MATCH("fwd_"&amp;$G95&amp;"_additional",'Courier Rates'!$1:$1,0))*MAX(0,(D95-0.5)/0.5))+IF(ISNUMBER(SEARCH("rto",'Courier Invoice'!G95)),(INDEX('Courier Rates'!$1:$2,2,MATCH("rto_"&amp;$G95&amp;"_fixed",'Courier Rates'!$1:$1,0))+INDEX('Courier Rates'!$1:$2,2,MATCH("rto_"&amp;$G95&amp;"_additional",'Courier Rates'!$1:$1,0))*MAX(0,(D95-0.5)/0.5)),0)</f>
        <v>33</v>
      </c>
      <c r="J95" s="9" t="n">
        <f aca="false">VALUE('Courier Invoice'!H95)</f>
        <v>90.2</v>
      </c>
      <c r="K95" s="9" t="n">
        <f aca="false">ROUND(J95-I95,2)</f>
        <v>57.2</v>
      </c>
    </row>
    <row r="96" customFormat="false" ht="15" hidden="false" customHeight="true" outlineLevel="0" collapsed="false">
      <c r="A96" s="8" t="str">
        <f aca="false">'Courier Invoice'!B96</f>
        <v>2001806968</v>
      </c>
      <c r="B96" s="8" t="str">
        <f aca="false">'Courier Invoice'!A96</f>
        <v>1091117229183</v>
      </c>
      <c r="C96" s="9" t="n">
        <f aca="false">SUMIF('Order Report'!$A:$A,$A96,'Order Report'!$D:$D)/1000</f>
        <v>0.5</v>
      </c>
      <c r="D96" s="9" t="n">
        <f aca="false">CEILING(C96,0.5)</f>
        <v>0.5</v>
      </c>
      <c r="E96" s="9" t="n">
        <f aca="false">VALUE('Courier Invoice'!C96)</f>
        <v>0.68</v>
      </c>
      <c r="F96" s="9" t="n">
        <f aca="false">CEILING(E96,0.5)</f>
        <v>1</v>
      </c>
      <c r="G96" s="8" t="str">
        <f aca="false">INDEX('Pincode Zones'!$C:$C,MATCH('Courier Invoice'!D96&amp;"-"&amp;'Courier Invoice'!E96,'Pincode Zones'!$D:$D,0))</f>
        <v>b</v>
      </c>
      <c r="H96" s="8" t="str">
        <f aca="false">'Courier Invoice'!F96</f>
        <v>d</v>
      </c>
      <c r="I96" s="9" t="n">
        <f aca="false">(INDEX('Courier Rates'!$1:$2,2,MATCH("fwd_"&amp;$G96&amp;"_fixed",'Courier Rates'!$1:$1,0))+INDEX('Courier Rates'!$1:$2,2,MATCH("fwd_"&amp;$G96&amp;"_additional",'Courier Rates'!$1:$1,0))*MAX(0,(D96-0.5)/0.5))+IF(ISNUMBER(SEARCH("rto",'Courier Invoice'!G96)),(INDEX('Courier Rates'!$1:$2,2,MATCH("rto_"&amp;$G96&amp;"_fixed",'Courier Rates'!$1:$1,0))+INDEX('Courier Rates'!$1:$2,2,MATCH("rto_"&amp;$G96&amp;"_additional",'Courier Rates'!$1:$1,0))*MAX(0,(D96-0.5)/0.5)),0)</f>
        <v>33</v>
      </c>
      <c r="J96" s="9" t="n">
        <f aca="false">VALUE('Courier Invoice'!H96)</f>
        <v>90.2</v>
      </c>
      <c r="K96" s="9" t="n">
        <f aca="false">ROUND(J96-I96,2)</f>
        <v>57.2</v>
      </c>
    </row>
    <row r="97" customFormat="false" ht="15" hidden="false" customHeight="true" outlineLevel="0" collapsed="false">
      <c r="A97" s="8" t="str">
        <f aca="false">'Courier Invoice'!B97</f>
        <v>2001807328</v>
      </c>
      <c r="B97" s="8" t="str">
        <f aca="false">'Courier Invoice'!A97</f>
        <v>1091117324346</v>
      </c>
      <c r="C97" s="9" t="n">
        <f aca="false">SUMIF('Order Report'!$A:$A,$A97,'Order Report'!$D:$D)/1000</f>
        <v>0.49</v>
      </c>
      <c r="D97" s="9" t="n">
        <f aca="false">CEILING(C97,0.5)</f>
        <v>0.5</v>
      </c>
      <c r="E97" s="9" t="n">
        <f aca="false">VALUE('Courier Invoice'!C97)</f>
        <v>2.28</v>
      </c>
      <c r="F97" s="9" t="n">
        <f aca="false">CEILING(E97,0.5)</f>
        <v>2.5</v>
      </c>
      <c r="G97" s="8" t="str">
        <f aca="false">INDEX('Pincode Zones'!$C:$C,MATCH('Courier Invoice'!D97&amp;"-"&amp;'Courier Invoice'!E97,'Pincode Zones'!$D:$D,0))</f>
        <v>b</v>
      </c>
      <c r="H97" s="8" t="str">
        <f aca="false">'Courier Invoice'!F97</f>
        <v>d</v>
      </c>
      <c r="I97" s="9" t="n">
        <f aca="false">(INDEX('Courier Rates'!$1:$2,2,MATCH("fwd_"&amp;$G97&amp;"_fixed",'Courier Rates'!$1:$1,0))+INDEX('Courier Rates'!$1:$2,2,MATCH("fwd_"&amp;$G97&amp;"_additional",'Courier Rates'!$1:$1,0))*MAX(0,(D97-0.5)/0.5))+IF(ISNUMBER(SEARCH("rto",'Courier Invoice'!G97)),(INDEX('Courier Rates'!$1:$2,2,MATCH("rto_"&amp;$G97&amp;"_fixed",'Courier Rates'!$1:$1,0))+INDEX('Courier Rates'!$1:$2,2,MATCH("rto_"&amp;$G97&amp;"_additional",'Courier Rates'!$1:$1,0))*MAX(0,(D97-0.5)/0.5)),0)</f>
        <v>33</v>
      </c>
      <c r="J97" s="9" t="n">
        <f aca="false">VALUE('Courier Invoice'!H97)</f>
        <v>224.6</v>
      </c>
      <c r="K97" s="9" t="n">
        <f aca="false">ROUND(J97-I97,2)</f>
        <v>191.6</v>
      </c>
    </row>
    <row r="98" customFormat="false" ht="15" hidden="false" customHeight="true" outlineLevel="0" collapsed="false">
      <c r="A98" s="8" t="str">
        <f aca="false">'Courier Invoice'!B98</f>
        <v>2001807785</v>
      </c>
      <c r="B98" s="8" t="str">
        <f aca="false">'Courier Invoice'!A98</f>
        <v>1091117326424</v>
      </c>
      <c r="C98" s="9" t="n">
        <f aca="false">SUMIF('Order Report'!$A:$A,$A98,'Order Report'!$D:$D)/1000</f>
        <v>0.5</v>
      </c>
      <c r="D98" s="9" t="n">
        <f aca="false">CEILING(C98,0.5)</f>
        <v>0.5</v>
      </c>
      <c r="E98" s="9" t="n">
        <f aca="false">VALUE('Courier Invoice'!C98)</f>
        <v>0.68</v>
      </c>
      <c r="F98" s="9" t="n">
        <f aca="false">CEILING(E98,0.5)</f>
        <v>1</v>
      </c>
      <c r="G98" s="8" t="str">
        <f aca="false">INDEX('Pincode Zones'!$C:$C,MATCH('Courier Invoice'!D98&amp;"-"&amp;'Courier Invoice'!E98,'Pincode Zones'!$D:$D,0))</f>
        <v>b</v>
      </c>
      <c r="H98" s="8" t="str">
        <f aca="false">'Courier Invoice'!F98</f>
        <v>d</v>
      </c>
      <c r="I98" s="9" t="n">
        <f aca="false">(INDEX('Courier Rates'!$1:$2,2,MATCH("fwd_"&amp;$G98&amp;"_fixed",'Courier Rates'!$1:$1,0))+INDEX('Courier Rates'!$1:$2,2,MATCH("fwd_"&amp;$G98&amp;"_additional",'Courier Rates'!$1:$1,0))*MAX(0,(D98-0.5)/0.5))+IF(ISNUMBER(SEARCH("rto",'Courier Invoice'!G98)),(INDEX('Courier Rates'!$1:$2,2,MATCH("rto_"&amp;$G98&amp;"_fixed",'Courier Rates'!$1:$1,0))+INDEX('Courier Rates'!$1:$2,2,MATCH("rto_"&amp;$G98&amp;"_additional",'Courier Rates'!$1:$1,0))*MAX(0,(D98-0.5)/0.5)),0)</f>
        <v>33</v>
      </c>
      <c r="J98" s="9" t="n">
        <f aca="false">VALUE('Courier Invoice'!H98)</f>
        <v>90.2</v>
      </c>
      <c r="K98" s="9" t="n">
        <f aca="false">ROUND(J98-I98,2)</f>
        <v>57.2</v>
      </c>
    </row>
    <row r="99" customFormat="false" ht="15" hidden="false" customHeight="true" outlineLevel="0" collapsed="false">
      <c r="A99" s="8" t="str">
        <f aca="false">'Courier Invoice'!B99</f>
        <v>2001807852</v>
      </c>
      <c r="B99" s="8" t="str">
        <f aca="false">'Courier Invoice'!A99</f>
        <v>1091117326925</v>
      </c>
      <c r="C99" s="9" t="n">
        <f aca="false">SUMIF('Order Report'!$A:$A,$A99,'Order Report'!$D:$D)/1000</f>
        <v>0.5</v>
      </c>
      <c r="D99" s="9" t="n">
        <f aca="false">CEILING(C99,0.5)</f>
        <v>0.5</v>
      </c>
      <c r="E99" s="9" t="n">
        <f aca="false">VALUE('Courier Invoice'!C99)</f>
        <v>0.74</v>
      </c>
      <c r="F99" s="9" t="n">
        <f aca="false">CEILING(E99,0.5)</f>
        <v>1</v>
      </c>
      <c r="G99" s="8" t="str">
        <f aca="false">INDEX('Pincode Zones'!$C:$C,MATCH('Courier Invoice'!D99&amp;"-"&amp;'Courier Invoice'!E99,'Pincode Zones'!$D:$D,0))</f>
        <v>b</v>
      </c>
      <c r="H99" s="8" t="str">
        <f aca="false">'Courier Invoice'!F99</f>
        <v>d</v>
      </c>
      <c r="I99" s="9" t="n">
        <f aca="false">(INDEX('Courier Rates'!$1:$2,2,MATCH("fwd_"&amp;$G99&amp;"_fixed",'Courier Rates'!$1:$1,0))+INDEX('Courier Rates'!$1:$2,2,MATCH("fwd_"&amp;$G99&amp;"_additional",'Courier Rates'!$1:$1,0))*MAX(0,(D99-0.5)/0.5))+IF(ISNUMBER(SEARCH("rto",'Courier Invoice'!G99)),(INDEX('Courier Rates'!$1:$2,2,MATCH("rto_"&amp;$G99&amp;"_fixed",'Courier Rates'!$1:$1,0))+INDEX('Courier Rates'!$1:$2,2,MATCH("rto_"&amp;$G99&amp;"_additional",'Courier Rates'!$1:$1,0))*MAX(0,(D99-0.5)/0.5)),0)</f>
        <v>33</v>
      </c>
      <c r="J99" s="9" t="n">
        <f aca="false">VALUE('Courier Invoice'!H99)</f>
        <v>90.2</v>
      </c>
      <c r="K99" s="9" t="n">
        <f aca="false">ROUND(J99-I99,2)</f>
        <v>57.2</v>
      </c>
    </row>
    <row r="100" customFormat="false" ht="15" hidden="false" customHeight="true" outlineLevel="0" collapsed="false">
      <c r="A100" s="8" t="str">
        <f aca="false">'Courier Invoice'!B100</f>
        <v>2001807970</v>
      </c>
      <c r="B100" s="8" t="str">
        <f aca="false">'Courier Invoice'!A100</f>
        <v>1091117327474</v>
      </c>
      <c r="C100" s="9" t="n">
        <f aca="false">SUMIF('Order Report'!$A:$A,$A100,'Order Report'!$D:$D)/1000</f>
        <v>0.765</v>
      </c>
      <c r="D100" s="9" t="n">
        <f aca="false">CEILING(C100,0.5)</f>
        <v>1</v>
      </c>
      <c r="E100" s="9" t="n">
        <f aca="false">VALUE('Courier Invoice'!C100)</f>
        <v>4.13</v>
      </c>
      <c r="F100" s="9" t="n">
        <f aca="false">CEILING(E100,0.5)</f>
        <v>4.5</v>
      </c>
      <c r="G100" s="8" t="str">
        <f aca="false">INDEX('Pincode Zones'!$C:$C,MATCH('Courier Invoice'!D100&amp;"-"&amp;'Courier Invoice'!E100,'Pincode Zones'!$D:$D,0))</f>
        <v>b</v>
      </c>
      <c r="H100" s="8" t="str">
        <f aca="false">'Courier Invoice'!F100</f>
        <v>d</v>
      </c>
      <c r="I100" s="9" t="n">
        <f aca="false">(INDEX('Courier Rates'!$1:$2,2,MATCH("fwd_"&amp;$G100&amp;"_fixed",'Courier Rates'!$1:$1,0))+INDEX('Courier Rates'!$1:$2,2,MATCH("fwd_"&amp;$G100&amp;"_additional",'Courier Rates'!$1:$1,0))*MAX(0,(D100-0.5)/0.5))+IF(ISNUMBER(SEARCH("rto",'Courier Invoice'!G100)),(INDEX('Courier Rates'!$1:$2,2,MATCH("rto_"&amp;$G100&amp;"_fixed",'Courier Rates'!$1:$1,0))+INDEX('Courier Rates'!$1:$2,2,MATCH("rto_"&amp;$G100&amp;"_additional",'Courier Rates'!$1:$1,0))*MAX(0,(D100-0.5)/0.5)),0)</f>
        <v>61.3</v>
      </c>
      <c r="J100" s="9" t="n">
        <f aca="false">VALUE('Courier Invoice'!H100)</f>
        <v>403.8</v>
      </c>
      <c r="K100" s="9" t="n">
        <f aca="false">ROUND(J100-I100,2)</f>
        <v>342.5</v>
      </c>
    </row>
    <row r="101" customFormat="false" ht="15" hidden="false" customHeight="true" outlineLevel="0" collapsed="false">
      <c r="A101" s="8" t="str">
        <f aca="false">'Courier Invoice'!B101</f>
        <v>2001807329</v>
      </c>
      <c r="B101" s="8" t="str">
        <f aca="false">'Courier Invoice'!A101</f>
        <v>1091117333100</v>
      </c>
      <c r="C101" s="9" t="n">
        <f aca="false">SUMIF('Order Report'!$A:$A,$A101,'Order Report'!$D:$D)/1000</f>
        <v>0.5</v>
      </c>
      <c r="D101" s="9" t="n">
        <f aca="false">CEILING(C101,0.5)</f>
        <v>0.5</v>
      </c>
      <c r="E101" s="9" t="n">
        <f aca="false">VALUE('Courier Invoice'!C101)</f>
        <v>0.73</v>
      </c>
      <c r="F101" s="9" t="n">
        <f aca="false">CEILING(E101,0.5)</f>
        <v>1</v>
      </c>
      <c r="G101" s="8" t="str">
        <f aca="false">INDEX('Pincode Zones'!$C:$C,MATCH('Courier Invoice'!D101&amp;"-"&amp;'Courier Invoice'!E101,'Pincode Zones'!$D:$D,0))</f>
        <v>b</v>
      </c>
      <c r="H101" s="8" t="str">
        <f aca="false">'Courier Invoice'!F101</f>
        <v>d</v>
      </c>
      <c r="I101" s="9" t="n">
        <f aca="false">(INDEX('Courier Rates'!$1:$2,2,MATCH("fwd_"&amp;$G101&amp;"_fixed",'Courier Rates'!$1:$1,0))+INDEX('Courier Rates'!$1:$2,2,MATCH("fwd_"&amp;$G101&amp;"_additional",'Courier Rates'!$1:$1,0))*MAX(0,(D101-0.5)/0.5))+IF(ISNUMBER(SEARCH("rto",'Courier Invoice'!G101)),(INDEX('Courier Rates'!$1:$2,2,MATCH("rto_"&amp;$G101&amp;"_fixed",'Courier Rates'!$1:$1,0))+INDEX('Courier Rates'!$1:$2,2,MATCH("rto_"&amp;$G101&amp;"_additional",'Courier Rates'!$1:$1,0))*MAX(0,(D101-0.5)/0.5)),0)</f>
        <v>33</v>
      </c>
      <c r="J101" s="9" t="n">
        <f aca="false">VALUE('Courier Invoice'!H101)</f>
        <v>90.2</v>
      </c>
      <c r="K101" s="9" t="n">
        <f aca="false">ROUND(J101-I101,2)</f>
        <v>57.2</v>
      </c>
    </row>
    <row r="102" customFormat="false" ht="15" hidden="false" customHeight="true" outlineLevel="0" collapsed="false">
      <c r="A102" s="8" t="str">
        <f aca="false">'Courier Invoice'!B102</f>
        <v>2001807613</v>
      </c>
      <c r="B102" s="8" t="str">
        <f aca="false">'Courier Invoice'!A102</f>
        <v>1091117333251</v>
      </c>
      <c r="C102" s="9" t="n">
        <f aca="false">SUMIF('Order Report'!$A:$A,$A102,'Order Report'!$D:$D)/1000</f>
        <v>0.83</v>
      </c>
      <c r="D102" s="9" t="n">
        <f aca="false">CEILING(C102,0.5)</f>
        <v>1</v>
      </c>
      <c r="E102" s="9" t="n">
        <f aca="false">VALUE('Courier Invoice'!C102)</f>
        <v>1.04</v>
      </c>
      <c r="F102" s="9" t="n">
        <f aca="false">CEILING(E102,0.5)</f>
        <v>1.5</v>
      </c>
      <c r="G102" s="8" t="str">
        <f aca="false">INDEX('Pincode Zones'!$C:$C,MATCH('Courier Invoice'!D102&amp;"-"&amp;'Courier Invoice'!E102,'Pincode Zones'!$D:$D,0))</f>
        <v>b</v>
      </c>
      <c r="H102" s="8" t="str">
        <f aca="false">'Courier Invoice'!F102</f>
        <v>d</v>
      </c>
      <c r="I102" s="9" t="n">
        <f aca="false">(INDEX('Courier Rates'!$1:$2,2,MATCH("fwd_"&amp;$G102&amp;"_fixed",'Courier Rates'!$1:$1,0))+INDEX('Courier Rates'!$1:$2,2,MATCH("fwd_"&amp;$G102&amp;"_additional",'Courier Rates'!$1:$1,0))*MAX(0,(D102-0.5)/0.5))+IF(ISNUMBER(SEARCH("rto",'Courier Invoice'!G102)),(INDEX('Courier Rates'!$1:$2,2,MATCH("rto_"&amp;$G102&amp;"_fixed",'Courier Rates'!$1:$1,0))+INDEX('Courier Rates'!$1:$2,2,MATCH("rto_"&amp;$G102&amp;"_additional",'Courier Rates'!$1:$1,0))*MAX(0,(D102-0.5)/0.5)),0)</f>
        <v>61.3</v>
      </c>
      <c r="J102" s="9" t="n">
        <f aca="false">VALUE('Courier Invoice'!H102)</f>
        <v>135</v>
      </c>
      <c r="K102" s="9" t="n">
        <f aca="false">ROUND(J102-I102,2)</f>
        <v>73.7</v>
      </c>
    </row>
    <row r="103" customFormat="false" ht="15" hidden="false" customHeight="true" outlineLevel="0" collapsed="false">
      <c r="A103" s="8" t="str">
        <f aca="false">'Courier Invoice'!B103</f>
        <v>2001808475</v>
      </c>
      <c r="B103" s="8" t="str">
        <f aca="false">'Courier Invoice'!A103</f>
        <v>1091117436346</v>
      </c>
      <c r="C103" s="9" t="n">
        <f aca="false">SUMIF('Order Report'!$A:$A,$A103,'Order Report'!$D:$D)/1000</f>
        <v>0.5</v>
      </c>
      <c r="D103" s="9" t="n">
        <f aca="false">CEILING(C103,0.5)</f>
        <v>0.5</v>
      </c>
      <c r="E103" s="9" t="n">
        <f aca="false">VALUE('Courier Invoice'!C103)</f>
        <v>0.7</v>
      </c>
      <c r="F103" s="9" t="n">
        <f aca="false">CEILING(E103,0.5)</f>
        <v>1</v>
      </c>
      <c r="G103" s="8" t="str">
        <f aca="false">INDEX('Pincode Zones'!$C:$C,MATCH('Courier Invoice'!D103&amp;"-"&amp;'Courier Invoice'!E103,'Pincode Zones'!$D:$D,0))</f>
        <v>b</v>
      </c>
      <c r="H103" s="8" t="str">
        <f aca="false">'Courier Invoice'!F103</f>
        <v>d</v>
      </c>
      <c r="I103" s="9" t="n">
        <f aca="false">(INDEX('Courier Rates'!$1:$2,2,MATCH("fwd_"&amp;$G103&amp;"_fixed",'Courier Rates'!$1:$1,0))+INDEX('Courier Rates'!$1:$2,2,MATCH("fwd_"&amp;$G103&amp;"_additional",'Courier Rates'!$1:$1,0))*MAX(0,(D103-0.5)/0.5))+IF(ISNUMBER(SEARCH("rto",'Courier Invoice'!G103)),(INDEX('Courier Rates'!$1:$2,2,MATCH("rto_"&amp;$G103&amp;"_fixed",'Courier Rates'!$1:$1,0))+INDEX('Courier Rates'!$1:$2,2,MATCH("rto_"&amp;$G103&amp;"_additional",'Courier Rates'!$1:$1,0))*MAX(0,(D103-0.5)/0.5)),0)</f>
        <v>33</v>
      </c>
      <c r="J103" s="9" t="n">
        <f aca="false">VALUE('Courier Invoice'!H103)</f>
        <v>90.2</v>
      </c>
      <c r="K103" s="9" t="n">
        <f aca="false">ROUND(J103-I103,2)</f>
        <v>57.2</v>
      </c>
    </row>
    <row r="104" customFormat="false" ht="15" hidden="false" customHeight="true" outlineLevel="0" collapsed="false">
      <c r="A104" s="8" t="str">
        <f aca="false">'Courier Invoice'!B104</f>
        <v>2001808585</v>
      </c>
      <c r="B104" s="8" t="str">
        <f aca="false">'Courier Invoice'!A104</f>
        <v>1091117436652</v>
      </c>
      <c r="C104" s="9" t="n">
        <f aca="false">SUMIF('Order Report'!$A:$A,$A104,'Order Report'!$D:$D)/1000</f>
        <v>0.5</v>
      </c>
      <c r="D104" s="9" t="n">
        <f aca="false">CEILING(C104,0.5)</f>
        <v>0.5</v>
      </c>
      <c r="E104" s="9" t="n">
        <f aca="false">VALUE('Courier Invoice'!C104)</f>
        <v>0.72</v>
      </c>
      <c r="F104" s="9" t="n">
        <f aca="false">CEILING(E104,0.5)</f>
        <v>1</v>
      </c>
      <c r="G104" s="8" t="str">
        <f aca="false">INDEX('Pincode Zones'!$C:$C,MATCH('Courier Invoice'!D104&amp;"-"&amp;'Courier Invoice'!E104,'Pincode Zones'!$D:$D,0))</f>
        <v>e</v>
      </c>
      <c r="H104" s="8" t="str">
        <f aca="false">'Courier Invoice'!F104</f>
        <v>b</v>
      </c>
      <c r="I104" s="9" t="n">
        <f aca="false">(INDEX('Courier Rates'!$1:$2,2,MATCH("fwd_"&amp;$G104&amp;"_fixed",'Courier Rates'!$1:$1,0))+INDEX('Courier Rates'!$1:$2,2,MATCH("fwd_"&amp;$G104&amp;"_additional",'Courier Rates'!$1:$1,0))*MAX(0,(D104-0.5)/0.5))+IF(ISNUMBER(SEARCH("rto",'Courier Invoice'!G104)),(INDEX('Courier Rates'!$1:$2,2,MATCH("rto_"&amp;$G104&amp;"_fixed",'Courier Rates'!$1:$1,0))+INDEX('Courier Rates'!$1:$2,2,MATCH("rto_"&amp;$G104&amp;"_additional",'Courier Rates'!$1:$1,0))*MAX(0,(D104-0.5)/0.5)),0)</f>
        <v>56.6</v>
      </c>
      <c r="J104" s="9" t="n">
        <f aca="false">VALUE('Courier Invoice'!H104)</f>
        <v>61.3</v>
      </c>
      <c r="K104" s="9" t="n">
        <f aca="false">ROUND(J104-I104,2)</f>
        <v>4.7</v>
      </c>
    </row>
    <row r="105" customFormat="false" ht="15" hidden="false" customHeight="true" outlineLevel="0" collapsed="false">
      <c r="A105" s="8" t="str">
        <f aca="false">'Courier Invoice'!B105</f>
        <v>2001808679</v>
      </c>
      <c r="B105" s="8" t="str">
        <f aca="false">'Courier Invoice'!A105</f>
        <v>1091117437035</v>
      </c>
      <c r="C105" s="9" t="n">
        <f aca="false">SUMIF('Order Report'!$A:$A,$A105,'Order Report'!$D:$D)/1000</f>
        <v>0.5</v>
      </c>
      <c r="D105" s="9" t="n">
        <f aca="false">CEILING(C105,0.5)</f>
        <v>0.5</v>
      </c>
      <c r="E105" s="9" t="n">
        <f aca="false">VALUE('Courier Invoice'!C105)</f>
        <v>0.72</v>
      </c>
      <c r="F105" s="9" t="n">
        <f aca="false">CEILING(E105,0.5)</f>
        <v>1</v>
      </c>
      <c r="G105" s="8" t="str">
        <f aca="false">INDEX('Pincode Zones'!$C:$C,MATCH('Courier Invoice'!D105&amp;"-"&amp;'Courier Invoice'!E105,'Pincode Zones'!$D:$D,0))</f>
        <v>b</v>
      </c>
      <c r="H105" s="8" t="str">
        <f aca="false">'Courier Invoice'!F105</f>
        <v>d</v>
      </c>
      <c r="I105" s="9" t="n">
        <f aca="false">(INDEX('Courier Rates'!$1:$2,2,MATCH("fwd_"&amp;$G105&amp;"_fixed",'Courier Rates'!$1:$1,0))+INDEX('Courier Rates'!$1:$2,2,MATCH("fwd_"&amp;$G105&amp;"_additional",'Courier Rates'!$1:$1,0))*MAX(0,(D105-0.5)/0.5))+IF(ISNUMBER(SEARCH("rto",'Courier Invoice'!G105)),(INDEX('Courier Rates'!$1:$2,2,MATCH("rto_"&amp;$G105&amp;"_fixed",'Courier Rates'!$1:$1,0))+INDEX('Courier Rates'!$1:$2,2,MATCH("rto_"&amp;$G105&amp;"_additional",'Courier Rates'!$1:$1,0))*MAX(0,(D105-0.5)/0.5)),0)</f>
        <v>33</v>
      </c>
      <c r="J105" s="9" t="n">
        <f aca="false">VALUE('Courier Invoice'!H105)</f>
        <v>90.2</v>
      </c>
      <c r="K105" s="9" t="n">
        <f aca="false">ROUND(J105-I105,2)</f>
        <v>57.2</v>
      </c>
    </row>
    <row r="106" customFormat="false" ht="15" hidden="false" customHeight="true" outlineLevel="0" collapsed="false">
      <c r="A106" s="8" t="str">
        <f aca="false">'Courier Invoice'!B106</f>
        <v>2001808739</v>
      </c>
      <c r="B106" s="8" t="str">
        <f aca="false">'Courier Invoice'!A106</f>
        <v>1091117437293</v>
      </c>
      <c r="C106" s="9" t="n">
        <f aca="false">SUMIF('Order Report'!$A:$A,$A106,'Order Report'!$D:$D)/1000</f>
        <v>0.22</v>
      </c>
      <c r="D106" s="9" t="n">
        <f aca="false">CEILING(C106,0.5)</f>
        <v>0.5</v>
      </c>
      <c r="E106" s="9" t="n">
        <f aca="false">VALUE('Courier Invoice'!C106)</f>
        <v>1.63</v>
      </c>
      <c r="F106" s="9" t="n">
        <f aca="false">CEILING(E106,0.5)</f>
        <v>2</v>
      </c>
      <c r="G106" s="8" t="str">
        <f aca="false">INDEX('Pincode Zones'!$C:$C,MATCH('Courier Invoice'!D106&amp;"-"&amp;'Courier Invoice'!E106,'Pincode Zones'!$D:$D,0))</f>
        <v>b</v>
      </c>
      <c r="H106" s="8" t="str">
        <f aca="false">'Courier Invoice'!F106</f>
        <v>d</v>
      </c>
      <c r="I106" s="9" t="n">
        <f aca="false">(INDEX('Courier Rates'!$1:$2,2,MATCH("fwd_"&amp;$G106&amp;"_fixed",'Courier Rates'!$1:$1,0))+INDEX('Courier Rates'!$1:$2,2,MATCH("fwd_"&amp;$G106&amp;"_additional",'Courier Rates'!$1:$1,0))*MAX(0,(D106-0.5)/0.5))+IF(ISNUMBER(SEARCH("rto",'Courier Invoice'!G106)),(INDEX('Courier Rates'!$1:$2,2,MATCH("rto_"&amp;$G106&amp;"_fixed",'Courier Rates'!$1:$1,0))+INDEX('Courier Rates'!$1:$2,2,MATCH("rto_"&amp;$G106&amp;"_additional",'Courier Rates'!$1:$1,0))*MAX(0,(D106-0.5)/0.5)),0)</f>
        <v>33</v>
      </c>
      <c r="J106" s="9" t="n">
        <f aca="false">VALUE('Courier Invoice'!H106)</f>
        <v>179.8</v>
      </c>
      <c r="K106" s="9" t="n">
        <f aca="false">ROUND(J106-I106,2)</f>
        <v>146.8</v>
      </c>
    </row>
    <row r="107" customFormat="false" ht="15" hidden="false" customHeight="true" outlineLevel="0" collapsed="false">
      <c r="A107" s="8" t="str">
        <f aca="false">'Courier Invoice'!B107</f>
        <v>2001808832</v>
      </c>
      <c r="B107" s="8" t="str">
        <f aca="false">'Courier Invoice'!A107</f>
        <v>1091117437864</v>
      </c>
      <c r="C107" s="9" t="n">
        <f aca="false">SUMIF('Order Report'!$A:$A,$A107,'Order Report'!$D:$D)/1000</f>
        <v>0.6</v>
      </c>
      <c r="D107" s="9" t="n">
        <f aca="false">CEILING(C107,0.5)</f>
        <v>1</v>
      </c>
      <c r="E107" s="9" t="n">
        <f aca="false">VALUE('Courier Invoice'!C107)</f>
        <v>2.47</v>
      </c>
      <c r="F107" s="9" t="n">
        <f aca="false">CEILING(E107,0.5)</f>
        <v>2.5</v>
      </c>
      <c r="G107" s="8" t="str">
        <f aca="false">INDEX('Pincode Zones'!$C:$C,MATCH('Courier Invoice'!D107&amp;"-"&amp;'Courier Invoice'!E107,'Pincode Zones'!$D:$D,0))</f>
        <v>b</v>
      </c>
      <c r="H107" s="8" t="str">
        <f aca="false">'Courier Invoice'!F107</f>
        <v>d</v>
      </c>
      <c r="I107" s="9" t="n">
        <f aca="false">(INDEX('Courier Rates'!$1:$2,2,MATCH("fwd_"&amp;$G107&amp;"_fixed",'Courier Rates'!$1:$1,0))+INDEX('Courier Rates'!$1:$2,2,MATCH("fwd_"&amp;$G107&amp;"_additional",'Courier Rates'!$1:$1,0))*MAX(0,(D107-0.5)/0.5))+IF(ISNUMBER(SEARCH("rto",'Courier Invoice'!G107)),(INDEX('Courier Rates'!$1:$2,2,MATCH("rto_"&amp;$G107&amp;"_fixed",'Courier Rates'!$1:$1,0))+INDEX('Courier Rates'!$1:$2,2,MATCH("rto_"&amp;$G107&amp;"_additional",'Courier Rates'!$1:$1,0))*MAX(0,(D107-0.5)/0.5)),0)</f>
        <v>61.3</v>
      </c>
      <c r="J107" s="9" t="n">
        <f aca="false">VALUE('Courier Invoice'!H107)</f>
        <v>224.6</v>
      </c>
      <c r="K107" s="9" t="n">
        <f aca="false">ROUND(J107-I107,2)</f>
        <v>163.3</v>
      </c>
    </row>
    <row r="108" customFormat="false" ht="15" hidden="false" customHeight="true" outlineLevel="0" collapsed="false">
      <c r="A108" s="8" t="str">
        <f aca="false">'Courier Invoice'!B108</f>
        <v>2001808837</v>
      </c>
      <c r="B108" s="8" t="str">
        <f aca="false">'Courier Invoice'!A108</f>
        <v>1091117437890</v>
      </c>
      <c r="C108" s="9" t="n">
        <f aca="false">SUMIF('Order Report'!$A:$A,$A108,'Order Report'!$D:$D)/1000</f>
        <v>0.5</v>
      </c>
      <c r="D108" s="9" t="n">
        <f aca="false">CEILING(C108,0.5)</f>
        <v>0.5</v>
      </c>
      <c r="E108" s="9" t="n">
        <f aca="false">VALUE('Courier Invoice'!C108)</f>
        <v>0.67</v>
      </c>
      <c r="F108" s="9" t="n">
        <f aca="false">CEILING(E108,0.5)</f>
        <v>1</v>
      </c>
      <c r="G108" s="8" t="str">
        <f aca="false">INDEX('Pincode Zones'!$C:$C,MATCH('Courier Invoice'!D108&amp;"-"&amp;'Courier Invoice'!E108,'Pincode Zones'!$D:$D,0))</f>
        <v>b</v>
      </c>
      <c r="H108" s="8" t="str">
        <f aca="false">'Courier Invoice'!F108</f>
        <v>d</v>
      </c>
      <c r="I108" s="9" t="n">
        <f aca="false">(INDEX('Courier Rates'!$1:$2,2,MATCH("fwd_"&amp;$G108&amp;"_fixed",'Courier Rates'!$1:$1,0))+INDEX('Courier Rates'!$1:$2,2,MATCH("fwd_"&amp;$G108&amp;"_additional",'Courier Rates'!$1:$1,0))*MAX(0,(D108-0.5)/0.5))+IF(ISNUMBER(SEARCH("rto",'Courier Invoice'!G108)),(INDEX('Courier Rates'!$1:$2,2,MATCH("rto_"&amp;$G108&amp;"_fixed",'Courier Rates'!$1:$1,0))+INDEX('Courier Rates'!$1:$2,2,MATCH("rto_"&amp;$G108&amp;"_additional",'Courier Rates'!$1:$1,0))*MAX(0,(D108-0.5)/0.5)),0)</f>
        <v>33</v>
      </c>
      <c r="J108" s="9" t="n">
        <f aca="false">VALUE('Courier Invoice'!H108)</f>
        <v>90.2</v>
      </c>
      <c r="K108" s="9" t="n">
        <f aca="false">ROUND(J108-I108,2)</f>
        <v>57.2</v>
      </c>
    </row>
    <row r="109" customFormat="false" ht="15" hidden="false" customHeight="true" outlineLevel="0" collapsed="false">
      <c r="A109" s="8" t="str">
        <f aca="false">'Courier Invoice'!B109</f>
        <v>2001808883</v>
      </c>
      <c r="B109" s="8" t="str">
        <f aca="false">'Courier Invoice'!A109</f>
        <v>1091117438074</v>
      </c>
      <c r="C109" s="9" t="n">
        <f aca="false">SUMIF('Order Report'!$A:$A,$A109,'Order Report'!$D:$D)/1000</f>
        <v>0.5</v>
      </c>
      <c r="D109" s="9" t="n">
        <f aca="false">CEILING(C109,0.5)</f>
        <v>0.5</v>
      </c>
      <c r="E109" s="9" t="n">
        <f aca="false">VALUE('Courier Invoice'!C109)</f>
        <v>0.72</v>
      </c>
      <c r="F109" s="9" t="n">
        <f aca="false">CEILING(E109,0.5)</f>
        <v>1</v>
      </c>
      <c r="G109" s="8" t="str">
        <f aca="false">INDEX('Pincode Zones'!$C:$C,MATCH('Courier Invoice'!D109&amp;"-"&amp;'Courier Invoice'!E109,'Pincode Zones'!$D:$D,0))</f>
        <v>b</v>
      </c>
      <c r="H109" s="8" t="str">
        <f aca="false">'Courier Invoice'!F109</f>
        <v>d</v>
      </c>
      <c r="I109" s="9" t="n">
        <f aca="false">(INDEX('Courier Rates'!$1:$2,2,MATCH("fwd_"&amp;$G109&amp;"_fixed",'Courier Rates'!$1:$1,0))+INDEX('Courier Rates'!$1:$2,2,MATCH("fwd_"&amp;$G109&amp;"_additional",'Courier Rates'!$1:$1,0))*MAX(0,(D109-0.5)/0.5))+IF(ISNUMBER(SEARCH("rto",'Courier Invoice'!G109)),(INDEX('Courier Rates'!$1:$2,2,MATCH("rto_"&amp;$G109&amp;"_fixed",'Courier Rates'!$1:$1,0))+INDEX('Courier Rates'!$1:$2,2,MATCH("rto_"&amp;$G109&amp;"_additional",'Courier Rates'!$1:$1,0))*MAX(0,(D109-0.5)/0.5)),0)</f>
        <v>33</v>
      </c>
      <c r="J109" s="9" t="n">
        <f aca="false">VALUE('Courier Invoice'!H109)</f>
        <v>90.2</v>
      </c>
      <c r="K109" s="9" t="n">
        <f aca="false">ROUND(J109-I109,2)</f>
        <v>57.2</v>
      </c>
    </row>
    <row r="110" customFormat="false" ht="15" hidden="false" customHeight="true" outlineLevel="0" collapsed="false">
      <c r="A110" s="8" t="str">
        <f aca="false">'Courier Invoice'!B110</f>
        <v>2001808992</v>
      </c>
      <c r="B110" s="8" t="str">
        <f aca="false">'Courier Invoice'!A110</f>
        <v>1091117611501</v>
      </c>
      <c r="C110" s="9" t="n">
        <f aca="false">SUMIF('Order Report'!$A:$A,$A110,'Order Report'!$D:$D)/1000</f>
        <v>0.5</v>
      </c>
      <c r="D110" s="9" t="n">
        <f aca="false">CEILING(C110,0.5)</f>
        <v>0.5</v>
      </c>
      <c r="E110" s="9" t="n">
        <f aca="false">VALUE('Courier Invoice'!C110)</f>
        <v>0.72</v>
      </c>
      <c r="F110" s="9" t="n">
        <f aca="false">CEILING(E110,0.5)</f>
        <v>1</v>
      </c>
      <c r="G110" s="8" t="str">
        <f aca="false">INDEX('Pincode Zones'!$C:$C,MATCH('Courier Invoice'!D110&amp;"-"&amp;'Courier Invoice'!E110,'Pincode Zones'!$D:$D,0))</f>
        <v>b</v>
      </c>
      <c r="H110" s="8" t="str">
        <f aca="false">'Courier Invoice'!F110</f>
        <v>d</v>
      </c>
      <c r="I110" s="9" t="n">
        <f aca="false">(INDEX('Courier Rates'!$1:$2,2,MATCH("fwd_"&amp;$G110&amp;"_fixed",'Courier Rates'!$1:$1,0))+INDEX('Courier Rates'!$1:$2,2,MATCH("fwd_"&amp;$G110&amp;"_additional",'Courier Rates'!$1:$1,0))*MAX(0,(D110-0.5)/0.5))+IF(ISNUMBER(SEARCH("rto",'Courier Invoice'!G110)),(INDEX('Courier Rates'!$1:$2,2,MATCH("rto_"&amp;$G110&amp;"_fixed",'Courier Rates'!$1:$1,0))+INDEX('Courier Rates'!$1:$2,2,MATCH("rto_"&amp;$G110&amp;"_additional",'Courier Rates'!$1:$1,0))*MAX(0,(D110-0.5)/0.5)),0)</f>
        <v>33</v>
      </c>
      <c r="J110" s="9" t="n">
        <f aca="false">VALUE('Courier Invoice'!H110)</f>
        <v>90.2</v>
      </c>
      <c r="K110" s="9" t="n">
        <f aca="false">ROUND(J110-I110,2)</f>
        <v>57.2</v>
      </c>
    </row>
    <row r="111" customFormat="false" ht="15" hidden="false" customHeight="true" outlineLevel="0" collapsed="false">
      <c r="A111" s="8" t="str">
        <f aca="false">'Courier Invoice'!B111</f>
        <v>2001809270</v>
      </c>
      <c r="B111" s="8" t="str">
        <f aca="false">'Courier Invoice'!A111</f>
        <v>1091117613962</v>
      </c>
      <c r="C111" s="9" t="n">
        <f aca="false">SUMIF('Order Report'!$A:$A,$A111,'Order Report'!$D:$D)/1000</f>
        <v>0.5</v>
      </c>
      <c r="D111" s="9" t="n">
        <f aca="false">CEILING(C111,0.5)</f>
        <v>0.5</v>
      </c>
      <c r="E111" s="9" t="n">
        <f aca="false">VALUE('Courier Invoice'!C111)</f>
        <v>0.68</v>
      </c>
      <c r="F111" s="9" t="n">
        <f aca="false">CEILING(E111,0.5)</f>
        <v>1</v>
      </c>
      <c r="G111" s="8" t="str">
        <f aca="false">INDEX('Pincode Zones'!$C:$C,MATCH('Courier Invoice'!D111&amp;"-"&amp;'Courier Invoice'!E111,'Pincode Zones'!$D:$D,0))</f>
        <v>b</v>
      </c>
      <c r="H111" s="8" t="str">
        <f aca="false">'Courier Invoice'!F111</f>
        <v>d</v>
      </c>
      <c r="I111" s="9" t="n">
        <f aca="false">(INDEX('Courier Rates'!$1:$2,2,MATCH("fwd_"&amp;$G111&amp;"_fixed",'Courier Rates'!$1:$1,0))+INDEX('Courier Rates'!$1:$2,2,MATCH("fwd_"&amp;$G111&amp;"_additional",'Courier Rates'!$1:$1,0))*MAX(0,(D111-0.5)/0.5))+IF(ISNUMBER(SEARCH("rto",'Courier Invoice'!G111)),(INDEX('Courier Rates'!$1:$2,2,MATCH("rto_"&amp;$G111&amp;"_fixed",'Courier Rates'!$1:$1,0))+INDEX('Courier Rates'!$1:$2,2,MATCH("rto_"&amp;$G111&amp;"_additional",'Courier Rates'!$1:$1,0))*MAX(0,(D111-0.5)/0.5)),0)</f>
        <v>33</v>
      </c>
      <c r="J111" s="9" t="n">
        <f aca="false">VALUE('Courier Invoice'!H111)</f>
        <v>90.2</v>
      </c>
      <c r="K111" s="9" t="n">
        <f aca="false">ROUND(J111-I111,2)</f>
        <v>57.2</v>
      </c>
    </row>
    <row r="112" customFormat="false" ht="15" hidden="false" customHeight="true" outlineLevel="0" collapsed="false">
      <c r="A112" s="8" t="str">
        <f aca="false">'Courier Invoice'!B112</f>
        <v>2001809934</v>
      </c>
      <c r="B112" s="8" t="str">
        <f aca="false">'Courier Invoice'!A112</f>
        <v>1091117803511</v>
      </c>
      <c r="C112" s="9" t="n">
        <f aca="false">SUMIF('Order Report'!$A:$A,$A112,'Order Report'!$D:$D)/1000</f>
        <v>0.361</v>
      </c>
      <c r="D112" s="9" t="n">
        <f aca="false">CEILING(C112,0.5)</f>
        <v>0.5</v>
      </c>
      <c r="E112" s="9" t="n">
        <f aca="false">VALUE('Courier Invoice'!C112)</f>
        <v>0.82</v>
      </c>
      <c r="F112" s="9" t="n">
        <f aca="false">CEILING(E112,0.5)</f>
        <v>1</v>
      </c>
      <c r="G112" s="8" t="str">
        <f aca="false">INDEX('Pincode Zones'!$C:$C,MATCH('Courier Invoice'!D112&amp;"-"&amp;'Courier Invoice'!E112,'Pincode Zones'!$D:$D,0))</f>
        <v>b</v>
      </c>
      <c r="H112" s="8" t="str">
        <f aca="false">'Courier Invoice'!F112</f>
        <v>d</v>
      </c>
      <c r="I112" s="9" t="n">
        <f aca="false">(INDEX('Courier Rates'!$1:$2,2,MATCH("fwd_"&amp;$G112&amp;"_fixed",'Courier Rates'!$1:$1,0))+INDEX('Courier Rates'!$1:$2,2,MATCH("fwd_"&amp;$G112&amp;"_additional",'Courier Rates'!$1:$1,0))*MAX(0,(D112-0.5)/0.5))+IF(ISNUMBER(SEARCH("rto",'Courier Invoice'!G112)),(INDEX('Courier Rates'!$1:$2,2,MATCH("rto_"&amp;$G112&amp;"_fixed",'Courier Rates'!$1:$1,0))+INDEX('Courier Rates'!$1:$2,2,MATCH("rto_"&amp;$G112&amp;"_additional",'Courier Rates'!$1:$1,0))*MAX(0,(D112-0.5)/0.5)),0)</f>
        <v>33</v>
      </c>
      <c r="J112" s="9" t="n">
        <f aca="false">VALUE('Courier Invoice'!H112)</f>
        <v>90.2</v>
      </c>
      <c r="K112" s="9" t="n">
        <f aca="false">ROUND(J112-I112,2)</f>
        <v>57.2</v>
      </c>
    </row>
    <row r="113" customFormat="false" ht="15" hidden="false" customHeight="true" outlineLevel="0" collapsed="false">
      <c r="A113" s="8" t="str">
        <f aca="false">'Courier Invoice'!B113</f>
        <v>2001810125</v>
      </c>
      <c r="B113" s="8" t="str">
        <f aca="false">'Courier Invoice'!A113</f>
        <v>1091117804314</v>
      </c>
      <c r="C113" s="9" t="n">
        <f aca="false">SUMIF('Order Report'!$A:$A,$A113,'Order Report'!$D:$D)/1000</f>
        <v>0.5</v>
      </c>
      <c r="D113" s="9" t="n">
        <f aca="false">CEILING(C113,0.5)</f>
        <v>0.5</v>
      </c>
      <c r="E113" s="9" t="n">
        <f aca="false">VALUE('Courier Invoice'!C113)</f>
        <v>0.66</v>
      </c>
      <c r="F113" s="9" t="n">
        <f aca="false">CEILING(E113,0.5)</f>
        <v>1</v>
      </c>
      <c r="G113" s="8" t="str">
        <f aca="false">INDEX('Pincode Zones'!$C:$C,MATCH('Courier Invoice'!D113&amp;"-"&amp;'Courier Invoice'!E113,'Pincode Zones'!$D:$D,0))</f>
        <v>b</v>
      </c>
      <c r="H113" s="8" t="str">
        <f aca="false">'Courier Invoice'!F113</f>
        <v>d</v>
      </c>
      <c r="I113" s="9" t="n">
        <f aca="false">(INDEX('Courier Rates'!$1:$2,2,MATCH("fwd_"&amp;$G113&amp;"_fixed",'Courier Rates'!$1:$1,0))+INDEX('Courier Rates'!$1:$2,2,MATCH("fwd_"&amp;$G113&amp;"_additional",'Courier Rates'!$1:$1,0))*MAX(0,(D113-0.5)/0.5))+IF(ISNUMBER(SEARCH("rto",'Courier Invoice'!G113)),(INDEX('Courier Rates'!$1:$2,2,MATCH("rto_"&amp;$G113&amp;"_fixed",'Courier Rates'!$1:$1,0))+INDEX('Courier Rates'!$1:$2,2,MATCH("rto_"&amp;$G113&amp;"_additional",'Courier Rates'!$1:$1,0))*MAX(0,(D113-0.5)/0.5)),0)</f>
        <v>33</v>
      </c>
      <c r="J113" s="9" t="n">
        <f aca="false">VALUE('Courier Invoice'!H113)</f>
        <v>90.2</v>
      </c>
      <c r="K113" s="9" t="n">
        <f aca="false">ROUND(J113-I113,2)</f>
        <v>57.2</v>
      </c>
    </row>
    <row r="114" customFormat="false" ht="15" hidden="false" customHeight="true" outlineLevel="0" collapsed="false">
      <c r="A114" s="8" t="str">
        <f aca="false">'Courier Invoice'!B114</f>
        <v>2001810281</v>
      </c>
      <c r="B114" s="8" t="str">
        <f aca="false">'Courier Invoice'!A114</f>
        <v>1091117805390</v>
      </c>
      <c r="C114" s="9" t="n">
        <f aca="false">SUMIF('Order Report'!$A:$A,$A114,'Order Report'!$D:$D)/1000</f>
        <v>0.5</v>
      </c>
      <c r="D114" s="9" t="n">
        <f aca="false">CEILING(C114,0.5)</f>
        <v>0.5</v>
      </c>
      <c r="E114" s="9" t="n">
        <f aca="false">VALUE('Courier Invoice'!C114)</f>
        <v>0.68</v>
      </c>
      <c r="F114" s="9" t="n">
        <f aca="false">CEILING(E114,0.5)</f>
        <v>1</v>
      </c>
      <c r="G114" s="8" t="str">
        <f aca="false">INDEX('Pincode Zones'!$C:$C,MATCH('Courier Invoice'!D114&amp;"-"&amp;'Courier Invoice'!E114,'Pincode Zones'!$D:$D,0))</f>
        <v>b</v>
      </c>
      <c r="H114" s="8" t="str">
        <f aca="false">'Courier Invoice'!F114</f>
        <v>d</v>
      </c>
      <c r="I114" s="9" t="n">
        <f aca="false">(INDEX('Courier Rates'!$1:$2,2,MATCH("fwd_"&amp;$G114&amp;"_fixed",'Courier Rates'!$1:$1,0))+INDEX('Courier Rates'!$1:$2,2,MATCH("fwd_"&amp;$G114&amp;"_additional",'Courier Rates'!$1:$1,0))*MAX(0,(D114-0.5)/0.5))+IF(ISNUMBER(SEARCH("rto",'Courier Invoice'!G114)),(INDEX('Courier Rates'!$1:$2,2,MATCH("rto_"&amp;$G114&amp;"_fixed",'Courier Rates'!$1:$1,0))+INDEX('Courier Rates'!$1:$2,2,MATCH("rto_"&amp;$G114&amp;"_additional",'Courier Rates'!$1:$1,0))*MAX(0,(D114-0.5)/0.5)),0)</f>
        <v>33</v>
      </c>
      <c r="J114" s="9" t="n">
        <f aca="false">VALUE('Courier Invoice'!H114)</f>
        <v>90.2</v>
      </c>
      <c r="K114" s="9" t="n">
        <f aca="false">ROUND(J114-I114,2)</f>
        <v>57.2</v>
      </c>
    </row>
    <row r="115" customFormat="false" ht="15" hidden="false" customHeight="true" outlineLevel="0" collapsed="false">
      <c r="A115" s="8" t="str">
        <f aca="false">'Courier Invoice'!B115</f>
        <v>2001810549</v>
      </c>
      <c r="B115" s="8" t="str">
        <f aca="false">'Courier Invoice'!A115</f>
        <v>1091117806263</v>
      </c>
      <c r="C115" s="9" t="n">
        <f aca="false">SUMIF('Order Report'!$A:$A,$A115,'Order Report'!$D:$D)/1000</f>
        <v>0.986</v>
      </c>
      <c r="D115" s="9" t="n">
        <f aca="false">CEILING(C115,0.5)</f>
        <v>1</v>
      </c>
      <c r="E115" s="9" t="n">
        <f aca="false">VALUE('Courier Invoice'!C115)</f>
        <v>1.86</v>
      </c>
      <c r="F115" s="9" t="n">
        <f aca="false">CEILING(E115,0.5)</f>
        <v>2</v>
      </c>
      <c r="G115" s="8" t="str">
        <f aca="false">INDEX('Pincode Zones'!$C:$C,MATCH('Courier Invoice'!D115&amp;"-"&amp;'Courier Invoice'!E115,'Pincode Zones'!$D:$D,0))</f>
        <v>b</v>
      </c>
      <c r="H115" s="8" t="str">
        <f aca="false">'Courier Invoice'!F115</f>
        <v>d</v>
      </c>
      <c r="I115" s="9" t="n">
        <f aca="false">(INDEX('Courier Rates'!$1:$2,2,MATCH("fwd_"&amp;$G115&amp;"_fixed",'Courier Rates'!$1:$1,0))+INDEX('Courier Rates'!$1:$2,2,MATCH("fwd_"&amp;$G115&amp;"_additional",'Courier Rates'!$1:$1,0))*MAX(0,(D115-0.5)/0.5))+IF(ISNUMBER(SEARCH("rto",'Courier Invoice'!G115)),(INDEX('Courier Rates'!$1:$2,2,MATCH("rto_"&amp;$G115&amp;"_fixed",'Courier Rates'!$1:$1,0))+INDEX('Courier Rates'!$1:$2,2,MATCH("rto_"&amp;$G115&amp;"_additional",'Courier Rates'!$1:$1,0))*MAX(0,(D115-0.5)/0.5)),0)</f>
        <v>61.3</v>
      </c>
      <c r="J115" s="9" t="n">
        <f aca="false">VALUE('Courier Invoice'!H115)</f>
        <v>179.8</v>
      </c>
      <c r="K115" s="9" t="n">
        <f aca="false">ROUND(J115-I115,2)</f>
        <v>118.5</v>
      </c>
    </row>
    <row r="116" customFormat="false" ht="15" hidden="false" customHeight="true" outlineLevel="0" collapsed="false">
      <c r="A116" s="8" t="str">
        <f aca="false">'Courier Invoice'!B116</f>
        <v>2001810697</v>
      </c>
      <c r="B116" s="8" t="str">
        <f aca="false">'Courier Invoice'!A116</f>
        <v>1091117807140</v>
      </c>
      <c r="C116" s="9" t="n">
        <f aca="false">SUMIF('Order Report'!$A:$A,$A116,'Order Report'!$D:$D)/1000</f>
        <v>0.607</v>
      </c>
      <c r="D116" s="9" t="n">
        <f aca="false">CEILING(C116,0.5)</f>
        <v>1</v>
      </c>
      <c r="E116" s="9" t="n">
        <f aca="false">VALUE('Courier Invoice'!C116)</f>
        <v>2.27</v>
      </c>
      <c r="F116" s="9" t="n">
        <f aca="false">CEILING(E116,0.5)</f>
        <v>2.5</v>
      </c>
      <c r="G116" s="8" t="str">
        <f aca="false">INDEX('Pincode Zones'!$C:$C,MATCH('Courier Invoice'!D116&amp;"-"&amp;'Courier Invoice'!E116,'Pincode Zones'!$D:$D,0))</f>
        <v>b</v>
      </c>
      <c r="H116" s="8" t="str">
        <f aca="false">'Courier Invoice'!F116</f>
        <v>d</v>
      </c>
      <c r="I116" s="9" t="n">
        <f aca="false">(INDEX('Courier Rates'!$1:$2,2,MATCH("fwd_"&amp;$G116&amp;"_fixed",'Courier Rates'!$1:$1,0))+INDEX('Courier Rates'!$1:$2,2,MATCH("fwd_"&amp;$G116&amp;"_additional",'Courier Rates'!$1:$1,0))*MAX(0,(D116-0.5)/0.5))+IF(ISNUMBER(SEARCH("rto",'Courier Invoice'!G116)),(INDEX('Courier Rates'!$1:$2,2,MATCH("rto_"&amp;$G116&amp;"_fixed",'Courier Rates'!$1:$1,0))+INDEX('Courier Rates'!$1:$2,2,MATCH("rto_"&amp;$G116&amp;"_additional",'Courier Rates'!$1:$1,0))*MAX(0,(D116-0.5)/0.5)),0)</f>
        <v>61.3</v>
      </c>
      <c r="J116" s="9" t="n">
        <f aca="false">VALUE('Courier Invoice'!H116)</f>
        <v>224.6</v>
      </c>
      <c r="K116" s="9" t="n">
        <f aca="false">ROUND(J116-I116,2)</f>
        <v>163.3</v>
      </c>
    </row>
    <row r="117" customFormat="false" ht="15" hidden="false" customHeight="true" outlineLevel="0" collapsed="false">
      <c r="A117" s="8" t="str">
        <f aca="false">'Courier Invoice'!B117</f>
        <v>2001811039</v>
      </c>
      <c r="B117" s="8" t="str">
        <f aca="false">'Courier Invoice'!A117</f>
        <v>1091117904860</v>
      </c>
      <c r="C117" s="9" t="n">
        <f aca="false">SUMIF('Order Report'!$A:$A,$A117,'Order Report'!$D:$D)/1000</f>
        <v>0.488</v>
      </c>
      <c r="D117" s="9" t="n">
        <f aca="false">CEILING(C117,0.5)</f>
        <v>0.5</v>
      </c>
      <c r="E117" s="9" t="n">
        <f aca="false">VALUE('Courier Invoice'!C117)</f>
        <v>0.68</v>
      </c>
      <c r="F117" s="9" t="n">
        <f aca="false">CEILING(E117,0.5)</f>
        <v>1</v>
      </c>
      <c r="G117" s="8" t="str">
        <f aca="false">INDEX('Pincode Zones'!$C:$C,MATCH('Courier Invoice'!D117&amp;"-"&amp;'Courier Invoice'!E117,'Pincode Zones'!$D:$D,0))</f>
        <v>b</v>
      </c>
      <c r="H117" s="8" t="str">
        <f aca="false">'Courier Invoice'!F117</f>
        <v>d</v>
      </c>
      <c r="I117" s="9" t="n">
        <f aca="false">(INDEX('Courier Rates'!$1:$2,2,MATCH("fwd_"&amp;$G117&amp;"_fixed",'Courier Rates'!$1:$1,0))+INDEX('Courier Rates'!$1:$2,2,MATCH("fwd_"&amp;$G117&amp;"_additional",'Courier Rates'!$1:$1,0))*MAX(0,(D117-0.5)/0.5))+IF(ISNUMBER(SEARCH("rto",'Courier Invoice'!G117)),(INDEX('Courier Rates'!$1:$2,2,MATCH("rto_"&amp;$G117&amp;"_fixed",'Courier Rates'!$1:$1,0))+INDEX('Courier Rates'!$1:$2,2,MATCH("rto_"&amp;$G117&amp;"_additional",'Courier Rates'!$1:$1,0))*MAX(0,(D117-0.5)/0.5)),0)</f>
        <v>33</v>
      </c>
      <c r="J117" s="9" t="n">
        <f aca="false">VALUE('Courier Invoice'!H117)</f>
        <v>90.2</v>
      </c>
      <c r="K117" s="9" t="n">
        <f aca="false">ROUND(J117-I117,2)</f>
        <v>57.2</v>
      </c>
    </row>
    <row r="118" customFormat="false" ht="15" hidden="false" customHeight="true" outlineLevel="0" collapsed="false">
      <c r="A118" s="8" t="str">
        <f aca="false">'Courier Invoice'!B118</f>
        <v>2001811058</v>
      </c>
      <c r="B118" s="8" t="str">
        <f aca="false">'Courier Invoice'!A118</f>
        <v>1091117905022</v>
      </c>
      <c r="C118" s="9" t="n">
        <f aca="false">SUMIF('Order Report'!$A:$A,$A118,'Order Report'!$D:$D)/1000</f>
        <v>0.5</v>
      </c>
      <c r="D118" s="9" t="n">
        <f aca="false">CEILING(C118,0.5)</f>
        <v>0.5</v>
      </c>
      <c r="E118" s="9" t="n">
        <f aca="false">VALUE('Courier Invoice'!C118)</f>
        <v>0.72</v>
      </c>
      <c r="F118" s="9" t="n">
        <f aca="false">CEILING(E118,0.5)</f>
        <v>1</v>
      </c>
      <c r="G118" s="8" t="str">
        <f aca="false">INDEX('Pincode Zones'!$C:$C,MATCH('Courier Invoice'!D118&amp;"-"&amp;'Courier Invoice'!E118,'Pincode Zones'!$D:$D,0))</f>
        <v>b</v>
      </c>
      <c r="H118" s="8" t="str">
        <f aca="false">'Courier Invoice'!F118</f>
        <v>d</v>
      </c>
      <c r="I118" s="9" t="n">
        <f aca="false">(INDEX('Courier Rates'!$1:$2,2,MATCH("fwd_"&amp;$G118&amp;"_fixed",'Courier Rates'!$1:$1,0))+INDEX('Courier Rates'!$1:$2,2,MATCH("fwd_"&amp;$G118&amp;"_additional",'Courier Rates'!$1:$1,0))*MAX(0,(D118-0.5)/0.5))+IF(ISNUMBER(SEARCH("rto",'Courier Invoice'!G118)),(INDEX('Courier Rates'!$1:$2,2,MATCH("rto_"&amp;$G118&amp;"_fixed",'Courier Rates'!$1:$1,0))+INDEX('Courier Rates'!$1:$2,2,MATCH("rto_"&amp;$G118&amp;"_additional",'Courier Rates'!$1:$1,0))*MAX(0,(D118-0.5)/0.5)),0)</f>
        <v>33</v>
      </c>
      <c r="J118" s="9" t="n">
        <f aca="false">VALUE('Courier Invoice'!H118)</f>
        <v>90.2</v>
      </c>
      <c r="K118" s="9" t="n">
        <f aca="false">ROUND(J118-I118,2)</f>
        <v>57.2</v>
      </c>
    </row>
    <row r="119" customFormat="false" ht="15" hidden="false" customHeight="true" outlineLevel="0" collapsed="false">
      <c r="A119" s="8" t="str">
        <f aca="false">'Courier Invoice'!B119</f>
        <v>2001811306</v>
      </c>
      <c r="B119" s="8" t="str">
        <f aca="false">'Courier Invoice'!A119</f>
        <v>1091117958163</v>
      </c>
      <c r="C119" s="9" t="n">
        <f aca="false">SUMIF('Order Report'!$A:$A,$A119,'Order Report'!$D:$D)/1000</f>
        <v>0.945</v>
      </c>
      <c r="D119" s="9" t="n">
        <f aca="false">CEILING(C119,0.5)</f>
        <v>1</v>
      </c>
      <c r="E119" s="9" t="n">
        <f aca="false">VALUE('Courier Invoice'!C119)</f>
        <v>1.1</v>
      </c>
      <c r="F119" s="9" t="n">
        <f aca="false">CEILING(E119,0.5)</f>
        <v>1.5</v>
      </c>
      <c r="G119" s="8" t="str">
        <f aca="false">INDEX('Pincode Zones'!$C:$C,MATCH('Courier Invoice'!D119&amp;"-"&amp;'Courier Invoice'!E119,'Pincode Zones'!$D:$D,0))</f>
        <v>b</v>
      </c>
      <c r="H119" s="8" t="str">
        <f aca="false">'Courier Invoice'!F119</f>
        <v>d</v>
      </c>
      <c r="I119" s="9" t="n">
        <f aca="false">(INDEX('Courier Rates'!$1:$2,2,MATCH("fwd_"&amp;$G119&amp;"_fixed",'Courier Rates'!$1:$1,0))+INDEX('Courier Rates'!$1:$2,2,MATCH("fwd_"&amp;$G119&amp;"_additional",'Courier Rates'!$1:$1,0))*MAX(0,(D119-0.5)/0.5))+IF(ISNUMBER(SEARCH("rto",'Courier Invoice'!G119)),(INDEX('Courier Rates'!$1:$2,2,MATCH("rto_"&amp;$G119&amp;"_fixed",'Courier Rates'!$1:$1,0))+INDEX('Courier Rates'!$1:$2,2,MATCH("rto_"&amp;$G119&amp;"_additional",'Courier Rates'!$1:$1,0))*MAX(0,(D119-0.5)/0.5)),0)</f>
        <v>61.3</v>
      </c>
      <c r="J119" s="9" t="n">
        <f aca="false">VALUE('Courier Invoice'!H119)</f>
        <v>135</v>
      </c>
      <c r="K119" s="9" t="n">
        <f aca="false">ROUND(J119-I119,2)</f>
        <v>73.7</v>
      </c>
    </row>
    <row r="120" customFormat="false" ht="15" hidden="false" customHeight="true" outlineLevel="0" collapsed="false">
      <c r="A120" s="8" t="str">
        <f aca="false">'Courier Invoice'!B120</f>
        <v>2001812195</v>
      </c>
      <c r="B120" s="8" t="str">
        <f aca="false">'Courier Invoice'!A120</f>
        <v>1091118442390</v>
      </c>
      <c r="C120" s="9" t="n">
        <f aca="false">SUMIF('Order Report'!$A:$A,$A120,'Order Report'!$D:$D)/1000</f>
        <v>0.5</v>
      </c>
      <c r="D120" s="9" t="n">
        <f aca="false">CEILING(C120,0.5)</f>
        <v>0.5</v>
      </c>
      <c r="E120" s="9" t="n">
        <f aca="false">VALUE('Courier Invoice'!C120)</f>
        <v>0.67</v>
      </c>
      <c r="F120" s="9" t="n">
        <f aca="false">CEILING(E120,0.5)</f>
        <v>1</v>
      </c>
      <c r="G120" s="8" t="str">
        <f aca="false">INDEX('Pincode Zones'!$C:$C,MATCH('Courier Invoice'!D120&amp;"-"&amp;'Courier Invoice'!E120,'Pincode Zones'!$D:$D,0))</f>
        <v>b</v>
      </c>
      <c r="H120" s="8" t="str">
        <f aca="false">'Courier Invoice'!F120</f>
        <v>d</v>
      </c>
      <c r="I120" s="9" t="n">
        <f aca="false">(INDEX('Courier Rates'!$1:$2,2,MATCH("fwd_"&amp;$G120&amp;"_fixed",'Courier Rates'!$1:$1,0))+INDEX('Courier Rates'!$1:$2,2,MATCH("fwd_"&amp;$G120&amp;"_additional",'Courier Rates'!$1:$1,0))*MAX(0,(D120-0.5)/0.5))+IF(ISNUMBER(SEARCH("rto",'Courier Invoice'!G120)),(INDEX('Courier Rates'!$1:$2,2,MATCH("rto_"&amp;$G120&amp;"_fixed",'Courier Rates'!$1:$1,0))+INDEX('Courier Rates'!$1:$2,2,MATCH("rto_"&amp;$G120&amp;"_additional",'Courier Rates'!$1:$1,0))*MAX(0,(D120-0.5)/0.5)),0)</f>
        <v>33</v>
      </c>
      <c r="J120" s="9" t="n">
        <f aca="false">VALUE('Courier Invoice'!H120)</f>
        <v>90.2</v>
      </c>
      <c r="K120" s="9" t="n">
        <f aca="false">ROUND(J120-I120,2)</f>
        <v>57.2</v>
      </c>
    </row>
    <row r="121" customFormat="false" ht="15" hidden="false" customHeight="true" outlineLevel="0" collapsed="false">
      <c r="A121" s="8" t="str">
        <f aca="false">'Courier Invoice'!B121</f>
        <v>2001812941</v>
      </c>
      <c r="B121" s="8" t="str">
        <f aca="false">'Courier Invoice'!A121</f>
        <v>1091118551656</v>
      </c>
      <c r="C121" s="9" t="n">
        <f aca="false">SUMIF('Order Report'!$A:$A,$A121,'Order Report'!$D:$D)/1000</f>
        <v>0.5</v>
      </c>
      <c r="D121" s="9" t="n">
        <f aca="false">CEILING(C121,0.5)</f>
        <v>0.5</v>
      </c>
      <c r="E121" s="9" t="n">
        <f aca="false">VALUE('Courier Invoice'!C121)</f>
        <v>0.73</v>
      </c>
      <c r="F121" s="9" t="n">
        <f aca="false">CEILING(E121,0.5)</f>
        <v>1</v>
      </c>
      <c r="G121" s="8" t="str">
        <f aca="false">INDEX('Pincode Zones'!$C:$C,MATCH('Courier Invoice'!D121&amp;"-"&amp;'Courier Invoice'!E121,'Pincode Zones'!$D:$D,0))</f>
        <v>b</v>
      </c>
      <c r="H121" s="8" t="str">
        <f aca="false">'Courier Invoice'!F121</f>
        <v>d</v>
      </c>
      <c r="I121" s="9" t="n">
        <f aca="false">(INDEX('Courier Rates'!$1:$2,2,MATCH("fwd_"&amp;$G121&amp;"_fixed",'Courier Rates'!$1:$1,0))+INDEX('Courier Rates'!$1:$2,2,MATCH("fwd_"&amp;$G121&amp;"_additional",'Courier Rates'!$1:$1,0))*MAX(0,(D121-0.5)/0.5))+IF(ISNUMBER(SEARCH("rto",'Courier Invoice'!G121)),(INDEX('Courier Rates'!$1:$2,2,MATCH("rto_"&amp;$G121&amp;"_fixed",'Courier Rates'!$1:$1,0))+INDEX('Courier Rates'!$1:$2,2,MATCH("rto_"&amp;$G121&amp;"_additional",'Courier Rates'!$1:$1,0))*MAX(0,(D121-0.5)/0.5)),0)</f>
        <v>33</v>
      </c>
      <c r="J121" s="9" t="n">
        <f aca="false">VALUE('Courier Invoice'!H121)</f>
        <v>90.2</v>
      </c>
      <c r="K121" s="9" t="n">
        <f aca="false">ROUND(J121-I121,2)</f>
        <v>57.2</v>
      </c>
    </row>
    <row r="122" customFormat="false" ht="15" hidden="false" customHeight="true" outlineLevel="0" collapsed="false">
      <c r="A122" s="8" t="str">
        <f aca="false">'Courier Invoice'!B122</f>
        <v>2001809383</v>
      </c>
      <c r="B122" s="8" t="str">
        <f aca="false">'Courier Invoice'!A122</f>
        <v>1091117614452</v>
      </c>
      <c r="C122" s="9" t="n">
        <f aca="false">SUMIF('Order Report'!$A:$A,$A122,'Order Report'!$D:$D)/1000</f>
        <v>0.607</v>
      </c>
      <c r="D122" s="9" t="n">
        <f aca="false">CEILING(C122,0.5)</f>
        <v>1</v>
      </c>
      <c r="E122" s="9" t="n">
        <f aca="false">VALUE('Courier Invoice'!C122)</f>
        <v>0.5</v>
      </c>
      <c r="F122" s="9" t="n">
        <f aca="false">CEILING(E122,0.5)</f>
        <v>0.5</v>
      </c>
      <c r="G122" s="8" t="str">
        <f aca="false">INDEX('Pincode Zones'!$C:$C,MATCH('Courier Invoice'!D122&amp;"-"&amp;'Courier Invoice'!E122,'Pincode Zones'!$D:$D,0))</f>
        <v>b</v>
      </c>
      <c r="H122" s="8" t="str">
        <f aca="false">'Courier Invoice'!F122</f>
        <v>d</v>
      </c>
      <c r="I122" s="9" t="n">
        <f aca="false">(INDEX('Courier Rates'!$1:$2,2,MATCH("fwd_"&amp;$G122&amp;"_fixed",'Courier Rates'!$1:$1,0))+INDEX('Courier Rates'!$1:$2,2,MATCH("fwd_"&amp;$G122&amp;"_additional",'Courier Rates'!$1:$1,0))*MAX(0,(D122-0.5)/0.5))+IF(ISNUMBER(SEARCH("rto",'Courier Invoice'!G122)),(INDEX('Courier Rates'!$1:$2,2,MATCH("rto_"&amp;$G122&amp;"_fixed",'Courier Rates'!$1:$1,0))+INDEX('Courier Rates'!$1:$2,2,MATCH("rto_"&amp;$G122&amp;"_additional",'Courier Rates'!$1:$1,0))*MAX(0,(D122-0.5)/0.5)),0)</f>
        <v>110.1</v>
      </c>
      <c r="J122" s="9" t="n">
        <f aca="false">VALUE('Courier Invoice'!H122)</f>
        <v>86.7</v>
      </c>
      <c r="K122" s="9" t="n">
        <f aca="false">ROUND(J122-I122,2)</f>
        <v>-23.4</v>
      </c>
    </row>
    <row r="123" customFormat="false" ht="15" hidden="false" customHeight="true" outlineLevel="0" collapsed="false">
      <c r="A123" s="8" t="str">
        <f aca="false">'Courier Invoice'!B123</f>
        <v>2001820978</v>
      </c>
      <c r="B123" s="8" t="str">
        <f aca="false">'Courier Invoice'!A123</f>
        <v>1091120922803</v>
      </c>
      <c r="C123" s="9" t="n">
        <f aca="false">SUMIF('Order Report'!$A:$A,$A123,'Order Report'!$D:$D)/1000</f>
        <v>0.515</v>
      </c>
      <c r="D123" s="9" t="n">
        <f aca="false">CEILING(C123,0.5)</f>
        <v>1</v>
      </c>
      <c r="E123" s="9" t="n">
        <f aca="false">VALUE('Courier Invoice'!C123)</f>
        <v>0.5</v>
      </c>
      <c r="F123" s="9" t="n">
        <f aca="false">CEILING(E123,0.5)</f>
        <v>0.5</v>
      </c>
      <c r="G123" s="8" t="str">
        <f aca="false">INDEX('Pincode Zones'!$C:$C,MATCH('Courier Invoice'!D123&amp;"-"&amp;'Courier Invoice'!E123,'Pincode Zones'!$D:$D,0))</f>
        <v>b</v>
      </c>
      <c r="H123" s="8" t="str">
        <f aca="false">'Courier Invoice'!F123</f>
        <v>d</v>
      </c>
      <c r="I123" s="9" t="n">
        <f aca="false">(INDEX('Courier Rates'!$1:$2,2,MATCH("fwd_"&amp;$G123&amp;"_fixed",'Courier Rates'!$1:$1,0))+INDEX('Courier Rates'!$1:$2,2,MATCH("fwd_"&amp;$G123&amp;"_additional",'Courier Rates'!$1:$1,0))*MAX(0,(D123-0.5)/0.5))+IF(ISNUMBER(SEARCH("rto",'Courier Invoice'!G123)),(INDEX('Courier Rates'!$1:$2,2,MATCH("rto_"&amp;$G123&amp;"_fixed",'Courier Rates'!$1:$1,0))+INDEX('Courier Rates'!$1:$2,2,MATCH("rto_"&amp;$G123&amp;"_additional",'Courier Rates'!$1:$1,0))*MAX(0,(D123-0.5)/0.5)),0)</f>
        <v>61.3</v>
      </c>
      <c r="J123" s="9" t="n">
        <f aca="false">VALUE('Courier Invoice'!H123)</f>
        <v>45.4</v>
      </c>
      <c r="K123" s="9" t="n">
        <f aca="false">ROUND(J123-I123,2)</f>
        <v>-15.9</v>
      </c>
    </row>
    <row r="124" customFormat="false" ht="15" hidden="false" customHeight="true" outlineLevel="0" collapsed="false">
      <c r="A124" s="8" t="str">
        <f aca="false">'Courier Invoice'!B124</f>
        <v>2001811475</v>
      </c>
      <c r="B124" s="8" t="str">
        <f aca="false">'Courier Invoice'!A124</f>
        <v>1091121844806</v>
      </c>
      <c r="C124" s="9" t="n">
        <f aca="false">SUMIF('Order Report'!$A:$A,$A124,'Order Report'!$D:$D)/1000</f>
        <v>0.689</v>
      </c>
      <c r="D124" s="9" t="n">
        <f aca="false">CEILING(C124,0.5)</f>
        <v>1</v>
      </c>
      <c r="E124" s="9" t="n">
        <f aca="false">VALUE('Courier Invoice'!C124)</f>
        <v>0.5</v>
      </c>
      <c r="F124" s="9" t="n">
        <f aca="false">CEILING(E124,0.5)</f>
        <v>0.5</v>
      </c>
      <c r="G124" s="8" t="str">
        <f aca="false">INDEX('Pincode Zones'!$C:$C,MATCH('Courier Invoice'!D124&amp;"-"&amp;'Courier Invoice'!E124,'Pincode Zones'!$D:$D,0))</f>
        <v>e</v>
      </c>
      <c r="H124" s="8" t="str">
        <f aca="false">'Courier Invoice'!F124</f>
        <v>b</v>
      </c>
      <c r="I124" s="9" t="n">
        <f aca="false">(INDEX('Courier Rates'!$1:$2,2,MATCH("fwd_"&amp;$G124&amp;"_fixed",'Courier Rates'!$1:$1,0))+INDEX('Courier Rates'!$1:$2,2,MATCH("fwd_"&amp;$G124&amp;"_additional",'Courier Rates'!$1:$1,0))*MAX(0,(D124-0.5)/0.5))+IF(ISNUMBER(SEARCH("rto",'Courier Invoice'!G124)),(INDEX('Courier Rates'!$1:$2,2,MATCH("rto_"&amp;$G124&amp;"_fixed",'Courier Rates'!$1:$1,0))+INDEX('Courier Rates'!$1:$2,2,MATCH("rto_"&amp;$G124&amp;"_additional",'Courier Rates'!$1:$1,0))*MAX(0,(D124-0.5)/0.5)),0)</f>
        <v>112.1</v>
      </c>
      <c r="J124" s="9" t="n">
        <f aca="false">VALUE('Courier Invoice'!H124)</f>
        <v>33</v>
      </c>
      <c r="K124" s="9" t="n">
        <f aca="false">ROUND(J124-I124,2)</f>
        <v>-79.1</v>
      </c>
    </row>
    <row r="125" customFormat="false" ht="15" hidden="false" customHeight="true" outlineLevel="0" collapsed="false">
      <c r="A125" s="8" t="str">
        <f aca="false">'Courier Invoice'!B125</f>
        <v>2001811305</v>
      </c>
      <c r="B125" s="8" t="str">
        <f aca="false">'Courier Invoice'!A125</f>
        <v>1091121846136</v>
      </c>
      <c r="C125" s="9" t="n">
        <f aca="false">SUMIF('Order Report'!$A:$A,$A125,'Order Report'!$D:$D)/1000</f>
        <v>0.75</v>
      </c>
      <c r="D125" s="9" t="n">
        <f aca="false">CEILING(C125,0.5)</f>
        <v>1</v>
      </c>
      <c r="E125" s="9" t="n">
        <f aca="false">VALUE('Courier Invoice'!C125)</f>
        <v>0.5</v>
      </c>
      <c r="F125" s="9" t="n">
        <f aca="false">CEILING(E125,0.5)</f>
        <v>0.5</v>
      </c>
      <c r="G125" s="8" t="str">
        <f aca="false">INDEX('Pincode Zones'!$C:$C,MATCH('Courier Invoice'!D125&amp;"-"&amp;'Courier Invoice'!E125,'Pincode Zones'!$D:$D,0))</f>
        <v>b</v>
      </c>
      <c r="H125" s="8" t="str">
        <f aca="false">'Courier Invoice'!F125</f>
        <v>d</v>
      </c>
      <c r="I125" s="9" t="n">
        <f aca="false">(INDEX('Courier Rates'!$1:$2,2,MATCH("fwd_"&amp;$G125&amp;"_fixed",'Courier Rates'!$1:$1,0))+INDEX('Courier Rates'!$1:$2,2,MATCH("fwd_"&amp;$G125&amp;"_additional",'Courier Rates'!$1:$1,0))*MAX(0,(D125-0.5)/0.5))+IF(ISNUMBER(SEARCH("rto",'Courier Invoice'!G125)),(INDEX('Courier Rates'!$1:$2,2,MATCH("rto_"&amp;$G125&amp;"_fixed",'Courier Rates'!$1:$1,0))+INDEX('Courier Rates'!$1:$2,2,MATCH("rto_"&amp;$G125&amp;"_additional",'Courier Rates'!$1:$1,0))*MAX(0,(D125-0.5)/0.5)),0)</f>
        <v>61.3</v>
      </c>
      <c r="J125" s="9" t="n">
        <f aca="false">VALUE('Courier Invoice'!H125)</f>
        <v>45.4</v>
      </c>
      <c r="K125" s="9" t="n">
        <f aca="false">ROUND(J125-I125,2)</f>
        <v>-15.9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8"/>
  </cols>
  <sheetData>
    <row r="1" customFormat="false" ht="15" hidden="false" customHeight="true" outlineLevel="0" collapsed="false">
      <c r="A1" s="7" t="s">
        <v>38</v>
      </c>
      <c r="B1" s="7" t="s">
        <v>39</v>
      </c>
      <c r="C1" s="7" t="s">
        <v>40</v>
      </c>
      <c r="D1" s="7" t="s">
        <v>41</v>
      </c>
    </row>
    <row r="2" customFormat="false" ht="15" hidden="false" customHeight="true" outlineLevel="0" collapsed="false">
      <c r="A2" s="8" t="s">
        <v>42</v>
      </c>
      <c r="B2" s="8" t="n">
        <v>8904223818706</v>
      </c>
      <c r="C2" s="8" t="s">
        <v>43</v>
      </c>
      <c r="D2" s="8" t="n">
        <f aca="false">C2*IFERROR(INDEX('SKU Master'!$B:$B,MATCH(B2,'SKU Master'!$A:$A,0)),0)</f>
        <v>127</v>
      </c>
    </row>
    <row r="3" customFormat="false" ht="15" hidden="false" customHeight="true" outlineLevel="0" collapsed="false">
      <c r="A3" s="8" t="s">
        <v>42</v>
      </c>
      <c r="B3" s="8" t="n">
        <v>8904223819093</v>
      </c>
      <c r="C3" s="8" t="s">
        <v>43</v>
      </c>
      <c r="D3" s="8" t="n">
        <f aca="false">C3*IFERROR(INDEX('SKU Master'!$B:$B,MATCH(B3,'SKU Master'!$A:$A,0)),0)</f>
        <v>150</v>
      </c>
    </row>
    <row r="4" customFormat="false" ht="15" hidden="false" customHeight="true" outlineLevel="0" collapsed="false">
      <c r="A4" s="8" t="s">
        <v>42</v>
      </c>
      <c r="B4" s="8" t="n">
        <v>8904223819109</v>
      </c>
      <c r="C4" s="8" t="s">
        <v>43</v>
      </c>
      <c r="D4" s="8" t="n">
        <f aca="false">C4*IFERROR(INDEX('SKU Master'!$B:$B,MATCH(B4,'SKU Master'!$A:$A,0)),0)</f>
        <v>100</v>
      </c>
    </row>
    <row r="5" customFormat="false" ht="15" hidden="false" customHeight="true" outlineLevel="0" collapsed="false">
      <c r="A5" s="8" t="s">
        <v>42</v>
      </c>
      <c r="B5" s="8" t="n">
        <v>8904223818430</v>
      </c>
      <c r="C5" s="8" t="s">
        <v>43</v>
      </c>
      <c r="D5" s="8" t="n">
        <f aca="false">C5*IFERROR(INDEX('SKU Master'!$B:$B,MATCH(B5,'SKU Master'!$A:$A,0)),0)</f>
        <v>165</v>
      </c>
    </row>
    <row r="6" customFormat="false" ht="15" hidden="false" customHeight="true" outlineLevel="0" collapsed="false">
      <c r="A6" s="8" t="s">
        <v>42</v>
      </c>
      <c r="B6" s="8" t="n">
        <v>8904223819277</v>
      </c>
      <c r="C6" s="8" t="s">
        <v>43</v>
      </c>
      <c r="D6" s="8" t="n">
        <f aca="false">C6*IFERROR(INDEX('SKU Master'!$B:$B,MATCH(B6,'SKU Master'!$A:$A,0)),0)</f>
        <v>350</v>
      </c>
    </row>
    <row r="7" customFormat="false" ht="15" hidden="false" customHeight="true" outlineLevel="0" collapsed="false">
      <c r="A7" s="8" t="s">
        <v>42</v>
      </c>
      <c r="B7" s="8" t="s">
        <v>44</v>
      </c>
      <c r="C7" s="8" t="s">
        <v>43</v>
      </c>
      <c r="D7" s="8" t="n">
        <f aca="false">C7*IFERROR(INDEX('SKU Master'!$B:$B,MATCH(B7,'SKU Master'!$A:$A,0)),0)</f>
        <v>500</v>
      </c>
    </row>
    <row r="8" customFormat="false" ht="15" hidden="false" customHeight="true" outlineLevel="0" collapsed="false">
      <c r="A8" s="8" t="s">
        <v>42</v>
      </c>
      <c r="B8" s="8" t="n">
        <v>8904223818638</v>
      </c>
      <c r="C8" s="8" t="s">
        <v>45</v>
      </c>
      <c r="D8" s="8" t="n">
        <f aca="false">C8*IFERROR(INDEX('SKU Master'!$B:$B,MATCH(B8,'SKU Master'!$A:$A,0)),0)</f>
        <v>274</v>
      </c>
    </row>
    <row r="9" customFormat="false" ht="15" hidden="false" customHeight="true" outlineLevel="0" collapsed="false">
      <c r="A9" s="8" t="s">
        <v>42</v>
      </c>
      <c r="B9" s="8" t="s">
        <v>46</v>
      </c>
      <c r="C9" s="8" t="s">
        <v>43</v>
      </c>
      <c r="D9" s="8" t="n">
        <f aca="false">C9*IFERROR(INDEX('SKU Master'!$B:$B,MATCH(B9,'SKU Master'!$A:$A,0)),0)</f>
        <v>10</v>
      </c>
    </row>
    <row r="10" customFormat="false" ht="15" hidden="false" customHeight="true" outlineLevel="0" collapsed="false">
      <c r="A10" s="8" t="s">
        <v>47</v>
      </c>
      <c r="B10" s="8" t="n">
        <v>8904223819024</v>
      </c>
      <c r="C10" s="8" t="s">
        <v>48</v>
      </c>
      <c r="D10" s="8" t="n">
        <f aca="false">C10*IFERROR(INDEX('SKU Master'!$B:$B,MATCH(B10,'SKU Master'!$A:$A,0)),0)</f>
        <v>448</v>
      </c>
    </row>
    <row r="11" customFormat="false" ht="15" hidden="false" customHeight="true" outlineLevel="0" collapsed="false">
      <c r="A11" s="8" t="s">
        <v>47</v>
      </c>
      <c r="B11" s="8" t="n">
        <v>8904223819291</v>
      </c>
      <c r="C11" s="8" t="s">
        <v>48</v>
      </c>
      <c r="D11" s="8" t="n">
        <f aca="false">C11*IFERROR(INDEX('SKU Master'!$B:$B,MATCH(B11,'SKU Master'!$A:$A,0)),0)</f>
        <v>448</v>
      </c>
    </row>
    <row r="12" customFormat="false" ht="15" hidden="false" customHeight="true" outlineLevel="0" collapsed="false">
      <c r="A12" s="8" t="s">
        <v>47</v>
      </c>
      <c r="B12" s="8" t="n">
        <v>8904223818638</v>
      </c>
      <c r="C12" s="8" t="s">
        <v>49</v>
      </c>
      <c r="D12" s="8" t="n">
        <f aca="false">C12*IFERROR(INDEX('SKU Master'!$B:$B,MATCH(B12,'SKU Master'!$A:$A,0)),0)</f>
        <v>411</v>
      </c>
    </row>
    <row r="13" customFormat="false" ht="15" hidden="false" customHeight="true" outlineLevel="0" collapsed="false">
      <c r="A13" s="8" t="s">
        <v>47</v>
      </c>
      <c r="B13" s="8" t="n">
        <v>8904223818669</v>
      </c>
      <c r="C13" s="8" t="s">
        <v>43</v>
      </c>
      <c r="D13" s="8" t="n">
        <f aca="false">C13*IFERROR(INDEX('SKU Master'!$B:$B,MATCH(B13,'SKU Master'!$A:$A,0)),0)</f>
        <v>240</v>
      </c>
    </row>
    <row r="14" customFormat="false" ht="15" hidden="false" customHeight="true" outlineLevel="0" collapsed="false">
      <c r="A14" s="8" t="s">
        <v>47</v>
      </c>
      <c r="B14" s="8" t="s">
        <v>46</v>
      </c>
      <c r="C14" s="8" t="s">
        <v>43</v>
      </c>
      <c r="D14" s="8" t="n">
        <f aca="false">C14*IFERROR(INDEX('SKU Master'!$B:$B,MATCH(B14,'SKU Master'!$A:$A,0)),0)</f>
        <v>10</v>
      </c>
    </row>
    <row r="15" customFormat="false" ht="15" hidden="false" customHeight="true" outlineLevel="0" collapsed="false">
      <c r="A15" s="8" t="s">
        <v>50</v>
      </c>
      <c r="B15" s="8" t="n">
        <v>8904223819291</v>
      </c>
      <c r="C15" s="8" t="s">
        <v>45</v>
      </c>
      <c r="D15" s="8" t="n">
        <f aca="false">C15*IFERROR(INDEX('SKU Master'!$B:$B,MATCH(B15,'SKU Master'!$A:$A,0)),0)</f>
        <v>224</v>
      </c>
    </row>
    <row r="16" customFormat="false" ht="15" hidden="false" customHeight="true" outlineLevel="0" collapsed="false">
      <c r="A16" s="8" t="s">
        <v>50</v>
      </c>
      <c r="B16" s="8" t="n">
        <v>8904223819031</v>
      </c>
      <c r="C16" s="8" t="s">
        <v>45</v>
      </c>
      <c r="D16" s="8" t="n">
        <f aca="false">C16*IFERROR(INDEX('SKU Master'!$B:$B,MATCH(B16,'SKU Master'!$A:$A,0)),0)</f>
        <v>224</v>
      </c>
    </row>
    <row r="17" customFormat="false" ht="15" hidden="false" customHeight="true" outlineLevel="0" collapsed="false">
      <c r="A17" s="8" t="s">
        <v>50</v>
      </c>
      <c r="B17" s="8" t="n">
        <v>8904223819024</v>
      </c>
      <c r="C17" s="8" t="s">
        <v>45</v>
      </c>
      <c r="D17" s="8" t="n">
        <f aca="false">C17*IFERROR(INDEX('SKU Master'!$B:$B,MATCH(B17,'SKU Master'!$A:$A,0)),0)</f>
        <v>224</v>
      </c>
    </row>
    <row r="18" customFormat="false" ht="15" hidden="false" customHeight="true" outlineLevel="0" collapsed="false">
      <c r="A18" s="8" t="s">
        <v>51</v>
      </c>
      <c r="B18" s="8" t="n">
        <v>8904223819468</v>
      </c>
      <c r="C18" s="8" t="s">
        <v>45</v>
      </c>
      <c r="D18" s="8" t="n">
        <f aca="false">C18*IFERROR(INDEX('SKU Master'!$B:$B,MATCH(B18,'SKU Master'!$A:$A,0)),0)</f>
        <v>480</v>
      </c>
    </row>
    <row r="19" customFormat="false" ht="15" hidden="false" customHeight="true" outlineLevel="0" collapsed="false">
      <c r="A19" s="8" t="s">
        <v>51</v>
      </c>
      <c r="B19" s="8" t="n">
        <v>8904223819291</v>
      </c>
      <c r="C19" s="8" t="s">
        <v>52</v>
      </c>
      <c r="D19" s="8" t="n">
        <f aca="false">C19*IFERROR(INDEX('SKU Master'!$B:$B,MATCH(B19,'SKU Master'!$A:$A,0)),0)</f>
        <v>896</v>
      </c>
    </row>
    <row r="20" customFormat="false" ht="15" hidden="false" customHeight="true" outlineLevel="0" collapsed="false">
      <c r="A20" s="8" t="s">
        <v>53</v>
      </c>
      <c r="B20" s="8" t="n">
        <v>8904223819130</v>
      </c>
      <c r="C20" s="8" t="s">
        <v>43</v>
      </c>
      <c r="D20" s="8" t="n">
        <f aca="false">C20*IFERROR(INDEX('SKU Master'!$B:$B,MATCH(B20,'SKU Master'!$A:$A,0)),0)</f>
        <v>350</v>
      </c>
    </row>
    <row r="21" customFormat="false" ht="15" hidden="false" customHeight="true" outlineLevel="0" collapsed="false">
      <c r="A21" s="8" t="s">
        <v>53</v>
      </c>
      <c r="B21" s="8" t="n">
        <v>8904223818706</v>
      </c>
      <c r="C21" s="8" t="s">
        <v>43</v>
      </c>
      <c r="D21" s="8" t="n">
        <f aca="false">C21*IFERROR(INDEX('SKU Master'!$B:$B,MATCH(B21,'SKU Master'!$A:$A,0)),0)</f>
        <v>127</v>
      </c>
    </row>
    <row r="22" customFormat="false" ht="15" hidden="false" customHeight="true" outlineLevel="0" collapsed="false">
      <c r="A22" s="8" t="s">
        <v>54</v>
      </c>
      <c r="B22" s="8" t="n">
        <v>8904223818591</v>
      </c>
      <c r="C22" s="8" t="s">
        <v>45</v>
      </c>
      <c r="D22" s="8" t="n">
        <f aca="false">C22*IFERROR(INDEX('SKU Master'!$B:$B,MATCH(B22,'SKU Master'!$A:$A,0)),0)</f>
        <v>240</v>
      </c>
    </row>
    <row r="23" customFormat="false" ht="15" hidden="false" customHeight="true" outlineLevel="0" collapsed="false">
      <c r="A23" s="8" t="s">
        <v>55</v>
      </c>
      <c r="B23" s="8" t="n">
        <v>8904223818850</v>
      </c>
      <c r="C23" s="8" t="s">
        <v>43</v>
      </c>
      <c r="D23" s="8" t="n">
        <f aca="false">C23*IFERROR(INDEX('SKU Master'!$B:$B,MATCH(B23,'SKU Master'!$A:$A,0)),0)</f>
        <v>240</v>
      </c>
    </row>
    <row r="24" customFormat="false" ht="15" hidden="false" customHeight="true" outlineLevel="0" collapsed="false">
      <c r="A24" s="8" t="s">
        <v>55</v>
      </c>
      <c r="B24" s="8" t="n">
        <v>8904223818430</v>
      </c>
      <c r="C24" s="8" t="s">
        <v>43</v>
      </c>
      <c r="D24" s="8" t="n">
        <f aca="false">C24*IFERROR(INDEX('SKU Master'!$B:$B,MATCH(B24,'SKU Master'!$A:$A,0)),0)</f>
        <v>165</v>
      </c>
    </row>
    <row r="25" customFormat="false" ht="15" hidden="false" customHeight="true" outlineLevel="0" collapsed="false">
      <c r="A25" s="8" t="s">
        <v>55</v>
      </c>
      <c r="B25" s="8" t="n">
        <v>8904223819130</v>
      </c>
      <c r="C25" s="8" t="s">
        <v>43</v>
      </c>
      <c r="D25" s="8" t="n">
        <f aca="false">C25*IFERROR(INDEX('SKU Master'!$B:$B,MATCH(B25,'SKU Master'!$A:$A,0)),0)</f>
        <v>350</v>
      </c>
    </row>
    <row r="26" customFormat="false" ht="15" hidden="false" customHeight="true" outlineLevel="0" collapsed="false">
      <c r="A26" s="8" t="s">
        <v>56</v>
      </c>
      <c r="B26" s="8" t="n">
        <v>8904223819468</v>
      </c>
      <c r="C26" s="8" t="s">
        <v>43</v>
      </c>
      <c r="D26" s="8" t="n">
        <f aca="false">C26*IFERROR(INDEX('SKU Master'!$B:$B,MATCH(B26,'SKU Master'!$A:$A,0)),0)</f>
        <v>240</v>
      </c>
    </row>
    <row r="27" customFormat="false" ht="15" hidden="false" customHeight="true" outlineLevel="0" collapsed="false">
      <c r="A27" s="8" t="s">
        <v>57</v>
      </c>
      <c r="B27" s="8" t="n">
        <v>8904223818430</v>
      </c>
      <c r="C27" s="8" t="s">
        <v>43</v>
      </c>
      <c r="D27" s="8" t="n">
        <f aca="false">C27*IFERROR(INDEX('SKU Master'!$B:$B,MATCH(B27,'SKU Master'!$A:$A,0)),0)</f>
        <v>165</v>
      </c>
    </row>
    <row r="28" customFormat="false" ht="15" hidden="false" customHeight="true" outlineLevel="0" collapsed="false">
      <c r="A28" s="8" t="s">
        <v>58</v>
      </c>
      <c r="B28" s="8" t="n">
        <v>8904223818980</v>
      </c>
      <c r="C28" s="8" t="s">
        <v>43</v>
      </c>
      <c r="D28" s="8" t="n">
        <f aca="false">C28*IFERROR(INDEX('SKU Master'!$B:$B,MATCH(B28,'SKU Master'!$A:$A,0)),0)</f>
        <v>110</v>
      </c>
    </row>
    <row r="29" customFormat="false" ht="15" hidden="false" customHeight="true" outlineLevel="0" collapsed="false">
      <c r="A29" s="8" t="s">
        <v>58</v>
      </c>
      <c r="B29" s="8" t="n">
        <v>8904223819031</v>
      </c>
      <c r="C29" s="8" t="s">
        <v>45</v>
      </c>
      <c r="D29" s="8" t="n">
        <f aca="false">C29*IFERROR(INDEX('SKU Master'!$B:$B,MATCH(B29,'SKU Master'!$A:$A,0)),0)</f>
        <v>224</v>
      </c>
    </row>
    <row r="30" customFormat="false" ht="15" hidden="false" customHeight="true" outlineLevel="0" collapsed="false">
      <c r="A30" s="8" t="s">
        <v>58</v>
      </c>
      <c r="B30" s="8" t="n">
        <v>8904223819024</v>
      </c>
      <c r="C30" s="8" t="s">
        <v>45</v>
      </c>
      <c r="D30" s="8" t="n">
        <f aca="false">C30*IFERROR(INDEX('SKU Master'!$B:$B,MATCH(B30,'SKU Master'!$A:$A,0)),0)</f>
        <v>224</v>
      </c>
    </row>
    <row r="31" customFormat="false" ht="15" hidden="false" customHeight="true" outlineLevel="0" collapsed="false">
      <c r="A31" s="8" t="s">
        <v>59</v>
      </c>
      <c r="B31" s="8" t="n">
        <v>8904223818614</v>
      </c>
      <c r="C31" s="8" t="s">
        <v>43</v>
      </c>
      <c r="D31" s="8" t="n">
        <f aca="false">C31*IFERROR(INDEX('SKU Master'!$B:$B,MATCH(B31,'SKU Master'!$A:$A,0)),0)</f>
        <v>65</v>
      </c>
    </row>
    <row r="32" customFormat="false" ht="15" hidden="false" customHeight="true" outlineLevel="0" collapsed="false">
      <c r="A32" s="8" t="s">
        <v>59</v>
      </c>
      <c r="B32" s="8" t="n">
        <v>8904223819024</v>
      </c>
      <c r="C32" s="8" t="s">
        <v>43</v>
      </c>
      <c r="D32" s="8" t="n">
        <f aca="false">C32*IFERROR(INDEX('SKU Master'!$B:$B,MATCH(B32,'SKU Master'!$A:$A,0)),0)</f>
        <v>112</v>
      </c>
    </row>
    <row r="33" customFormat="false" ht="15" hidden="false" customHeight="true" outlineLevel="0" collapsed="false">
      <c r="A33" s="8" t="s">
        <v>60</v>
      </c>
      <c r="B33" s="8" t="n">
        <v>8904223819321</v>
      </c>
      <c r="C33" s="8" t="s">
        <v>43</v>
      </c>
      <c r="D33" s="8" t="n">
        <f aca="false">C33*IFERROR(INDEX('SKU Master'!$B:$B,MATCH(B33,'SKU Master'!$A:$A,0)),0)</f>
        <v>600</v>
      </c>
    </row>
    <row r="34" customFormat="false" ht="15" hidden="false" customHeight="true" outlineLevel="0" collapsed="false">
      <c r="A34" s="8" t="s">
        <v>60</v>
      </c>
      <c r="B34" s="8" t="n">
        <v>8904223819338</v>
      </c>
      <c r="C34" s="8" t="s">
        <v>43</v>
      </c>
      <c r="D34" s="8" t="n">
        <f aca="false">C34*IFERROR(INDEX('SKU Master'!$B:$B,MATCH(B34,'SKU Master'!$A:$A,0)),0)</f>
        <v>600</v>
      </c>
    </row>
    <row r="35" customFormat="false" ht="15" hidden="false" customHeight="true" outlineLevel="0" collapsed="false">
      <c r="A35" s="8" t="s">
        <v>61</v>
      </c>
      <c r="B35" s="8" t="n">
        <v>8904223818942</v>
      </c>
      <c r="C35" s="8" t="s">
        <v>45</v>
      </c>
      <c r="D35" s="8" t="n">
        <f aca="false">C35*IFERROR(INDEX('SKU Master'!$B:$B,MATCH(B35,'SKU Master'!$A:$A,0)),0)</f>
        <v>266</v>
      </c>
    </row>
    <row r="36" customFormat="false" ht="15" hidden="false" customHeight="true" outlineLevel="0" collapsed="false">
      <c r="A36" s="8" t="s">
        <v>61</v>
      </c>
      <c r="B36" s="8" t="n">
        <v>8904223818683</v>
      </c>
      <c r="C36" s="8" t="s">
        <v>45</v>
      </c>
      <c r="D36" s="8" t="n">
        <f aca="false">C36*IFERROR(INDEX('SKU Master'!$B:$B,MATCH(B36,'SKU Master'!$A:$A,0)),0)</f>
        <v>242</v>
      </c>
    </row>
    <row r="37" customFormat="false" ht="15" hidden="false" customHeight="true" outlineLevel="0" collapsed="false">
      <c r="A37" s="8" t="s">
        <v>61</v>
      </c>
      <c r="B37" s="8" t="n">
        <v>8904223819239</v>
      </c>
      <c r="C37" s="8" t="s">
        <v>43</v>
      </c>
      <c r="D37" s="8" t="n">
        <f aca="false">C37*IFERROR(INDEX('SKU Master'!$B:$B,MATCH(B37,'SKU Master'!$A:$A,0)),0)</f>
        <v>290</v>
      </c>
    </row>
    <row r="38" customFormat="false" ht="15" hidden="false" customHeight="true" outlineLevel="0" collapsed="false">
      <c r="A38" s="8" t="s">
        <v>61</v>
      </c>
      <c r="B38" s="8" t="n">
        <v>8904223819246</v>
      </c>
      <c r="C38" s="8" t="s">
        <v>43</v>
      </c>
      <c r="D38" s="8" t="n">
        <f aca="false">C38*IFERROR(INDEX('SKU Master'!$B:$B,MATCH(B38,'SKU Master'!$A:$A,0)),0)</f>
        <v>290</v>
      </c>
    </row>
    <row r="39" customFormat="false" ht="15" hidden="false" customHeight="true" outlineLevel="0" collapsed="false">
      <c r="A39" s="8" t="s">
        <v>61</v>
      </c>
      <c r="B39" s="8" t="n">
        <v>8904223819253</v>
      </c>
      <c r="C39" s="8" t="s">
        <v>43</v>
      </c>
      <c r="D39" s="8" t="n">
        <f aca="false">C39*IFERROR(INDEX('SKU Master'!$B:$B,MATCH(B39,'SKU Master'!$A:$A,0)),0)</f>
        <v>290</v>
      </c>
    </row>
    <row r="40" customFormat="false" ht="15" hidden="false" customHeight="true" outlineLevel="0" collapsed="false">
      <c r="A40" s="8" t="s">
        <v>61</v>
      </c>
      <c r="B40" s="8" t="n">
        <v>8904223818669</v>
      </c>
      <c r="C40" s="8" t="s">
        <v>43</v>
      </c>
      <c r="D40" s="8" t="n">
        <f aca="false">C40*IFERROR(INDEX('SKU Master'!$B:$B,MATCH(B40,'SKU Master'!$A:$A,0)),0)</f>
        <v>240</v>
      </c>
    </row>
    <row r="41" customFormat="false" ht="15" hidden="false" customHeight="true" outlineLevel="0" collapsed="false">
      <c r="A41" s="8" t="s">
        <v>61</v>
      </c>
      <c r="B41" s="8" t="n">
        <v>8904223819147</v>
      </c>
      <c r="C41" s="8" t="s">
        <v>43</v>
      </c>
      <c r="D41" s="8" t="n">
        <f aca="false">C41*IFERROR(INDEX('SKU Master'!$B:$B,MATCH(B41,'SKU Master'!$A:$A,0)),0)</f>
        <v>240</v>
      </c>
    </row>
    <row r="42" customFormat="false" ht="15" hidden="false" customHeight="true" outlineLevel="0" collapsed="false">
      <c r="A42" s="8" t="s">
        <v>61</v>
      </c>
      <c r="B42" s="8" t="n">
        <v>8904223818850</v>
      </c>
      <c r="C42" s="8" t="s">
        <v>43</v>
      </c>
      <c r="D42" s="8" t="n">
        <f aca="false">C42*IFERROR(INDEX('SKU Master'!$B:$B,MATCH(B42,'SKU Master'!$A:$A,0)),0)</f>
        <v>240</v>
      </c>
    </row>
    <row r="43" customFormat="false" ht="15" hidden="false" customHeight="true" outlineLevel="0" collapsed="false">
      <c r="A43" s="8" t="s">
        <v>62</v>
      </c>
      <c r="B43" s="8" t="n">
        <v>8904223815859</v>
      </c>
      <c r="C43" s="8" t="s">
        <v>43</v>
      </c>
      <c r="D43" s="8" t="n">
        <f aca="false">C43*IFERROR(INDEX('SKU Master'!$B:$B,MATCH(B43,'SKU Master'!$A:$A,0)),0)</f>
        <v>165</v>
      </c>
    </row>
    <row r="44" customFormat="false" ht="15" hidden="false" customHeight="true" outlineLevel="0" collapsed="false">
      <c r="A44" s="8" t="s">
        <v>62</v>
      </c>
      <c r="B44" s="8" t="n">
        <v>8904223817501</v>
      </c>
      <c r="C44" s="8" t="s">
        <v>43</v>
      </c>
      <c r="D44" s="8" t="n">
        <f aca="false">C44*IFERROR(INDEX('SKU Master'!$B:$B,MATCH(B44,'SKU Master'!$A:$A,0)),0)</f>
        <v>350</v>
      </c>
    </row>
    <row r="45" customFormat="false" ht="15" hidden="false" customHeight="true" outlineLevel="0" collapsed="false">
      <c r="A45" s="8" t="s">
        <v>63</v>
      </c>
      <c r="B45" s="8" t="n">
        <v>8904223817273</v>
      </c>
      <c r="C45" s="8" t="s">
        <v>43</v>
      </c>
      <c r="D45" s="8" t="n">
        <f aca="false">C45*IFERROR(INDEX('SKU Master'!$B:$B,MATCH(B45,'SKU Master'!$A:$A,0)),0)</f>
        <v>65</v>
      </c>
    </row>
    <row r="46" customFormat="false" ht="15" hidden="false" customHeight="true" outlineLevel="0" collapsed="false">
      <c r="A46" s="8" t="s">
        <v>64</v>
      </c>
      <c r="B46" s="8" t="n">
        <v>8904223818942</v>
      </c>
      <c r="C46" s="8" t="s">
        <v>43</v>
      </c>
      <c r="D46" s="8" t="n">
        <f aca="false">C46*IFERROR(INDEX('SKU Master'!$B:$B,MATCH(B46,'SKU Master'!$A:$A,0)),0)</f>
        <v>133</v>
      </c>
    </row>
    <row r="47" customFormat="false" ht="15" hidden="false" customHeight="true" outlineLevel="0" collapsed="false">
      <c r="A47" s="8" t="s">
        <v>64</v>
      </c>
      <c r="B47" s="8" t="n">
        <v>8904223818706</v>
      </c>
      <c r="C47" s="8" t="s">
        <v>43</v>
      </c>
      <c r="D47" s="8" t="n">
        <f aca="false">C47*IFERROR(INDEX('SKU Master'!$B:$B,MATCH(B47,'SKU Master'!$A:$A,0)),0)</f>
        <v>127</v>
      </c>
    </row>
    <row r="48" customFormat="false" ht="15" hidden="false" customHeight="true" outlineLevel="0" collapsed="false">
      <c r="A48" s="8" t="s">
        <v>64</v>
      </c>
      <c r="B48" s="8" t="s">
        <v>46</v>
      </c>
      <c r="C48" s="8" t="s">
        <v>43</v>
      </c>
      <c r="D48" s="8" t="n">
        <f aca="false">C48*IFERROR(INDEX('SKU Master'!$B:$B,MATCH(B48,'SKU Master'!$A:$A,0)),0)</f>
        <v>10</v>
      </c>
    </row>
    <row r="49" customFormat="false" ht="15" hidden="false" customHeight="true" outlineLevel="0" collapsed="false">
      <c r="A49" s="8" t="s">
        <v>65</v>
      </c>
      <c r="B49" s="8" t="n">
        <v>8904223819147</v>
      </c>
      <c r="C49" s="8" t="s">
        <v>43</v>
      </c>
      <c r="D49" s="8" t="n">
        <f aca="false">C49*IFERROR(INDEX('SKU Master'!$B:$B,MATCH(B49,'SKU Master'!$A:$A,0)),0)</f>
        <v>240</v>
      </c>
    </row>
    <row r="50" customFormat="false" ht="15" hidden="false" customHeight="true" outlineLevel="0" collapsed="false">
      <c r="A50" s="8" t="s">
        <v>65</v>
      </c>
      <c r="B50" s="8" t="n">
        <v>8904223818935</v>
      </c>
      <c r="C50" s="8" t="s">
        <v>48</v>
      </c>
      <c r="D50" s="8" t="n">
        <f aca="false">C50*IFERROR(INDEX('SKU Master'!$B:$B,MATCH(B50,'SKU Master'!$A:$A,0)),0)</f>
        <v>480</v>
      </c>
    </row>
    <row r="51" customFormat="false" ht="15" hidden="false" customHeight="true" outlineLevel="0" collapsed="false">
      <c r="A51" s="8" t="s">
        <v>65</v>
      </c>
      <c r="B51" s="8" t="n">
        <v>8904223818683</v>
      </c>
      <c r="C51" s="8" t="s">
        <v>43</v>
      </c>
      <c r="D51" s="8" t="n">
        <f aca="false">C51*IFERROR(INDEX('SKU Master'!$B:$B,MATCH(B51,'SKU Master'!$A:$A,0)),0)</f>
        <v>121</v>
      </c>
    </row>
    <row r="52" customFormat="false" ht="15" hidden="false" customHeight="true" outlineLevel="0" collapsed="false">
      <c r="A52" s="8" t="s">
        <v>66</v>
      </c>
      <c r="B52" s="8" t="n">
        <v>8904223818478</v>
      </c>
      <c r="C52" s="8" t="s">
        <v>43</v>
      </c>
      <c r="D52" s="8" t="n">
        <f aca="false">C52*IFERROR(INDEX('SKU Master'!$B:$B,MATCH(B52,'SKU Master'!$A:$A,0)),0)</f>
        <v>350</v>
      </c>
    </row>
    <row r="53" customFormat="false" ht="15" hidden="false" customHeight="true" outlineLevel="0" collapsed="false">
      <c r="A53" s="8" t="s">
        <v>66</v>
      </c>
      <c r="B53" s="8" t="n">
        <v>8904223819284</v>
      </c>
      <c r="C53" s="8" t="s">
        <v>43</v>
      </c>
      <c r="D53" s="8" t="n">
        <f aca="false">C53*IFERROR(INDEX('SKU Master'!$B:$B,MATCH(B53,'SKU Master'!$A:$A,0)),0)</f>
        <v>350</v>
      </c>
    </row>
    <row r="54" customFormat="false" ht="15" hidden="false" customHeight="true" outlineLevel="0" collapsed="false">
      <c r="A54" s="8" t="s">
        <v>67</v>
      </c>
      <c r="B54" s="8" t="n">
        <v>8904223816214</v>
      </c>
      <c r="C54" s="8" t="s">
        <v>43</v>
      </c>
      <c r="D54" s="8" t="n">
        <f aca="false">C54*IFERROR(INDEX('SKU Master'!$B:$B,MATCH(B54,'SKU Master'!$A:$A,0)),0)</f>
        <v>120</v>
      </c>
    </row>
    <row r="55" customFormat="false" ht="15" hidden="false" customHeight="true" outlineLevel="0" collapsed="false">
      <c r="A55" s="8" t="s">
        <v>67</v>
      </c>
      <c r="B55" s="8" t="n">
        <v>8904223818874</v>
      </c>
      <c r="C55" s="8" t="s">
        <v>43</v>
      </c>
      <c r="D55" s="8" t="n">
        <f aca="false">C55*IFERROR(INDEX('SKU Master'!$B:$B,MATCH(B55,'SKU Master'!$A:$A,0)),0)</f>
        <v>100</v>
      </c>
    </row>
    <row r="56" customFormat="false" ht="15" hidden="false" customHeight="true" outlineLevel="0" collapsed="false">
      <c r="A56" s="8" t="s">
        <v>67</v>
      </c>
      <c r="B56" s="8" t="n">
        <v>8904223819512</v>
      </c>
      <c r="C56" s="8" t="s">
        <v>43</v>
      </c>
      <c r="D56" s="8" t="n">
        <f aca="false">C56*IFERROR(INDEX('SKU Master'!$B:$B,MATCH(B56,'SKU Master'!$A:$A,0)),0)</f>
        <v>210</v>
      </c>
    </row>
    <row r="57" customFormat="false" ht="15" hidden="false" customHeight="true" outlineLevel="0" collapsed="false">
      <c r="A57" s="8" t="s">
        <v>67</v>
      </c>
      <c r="B57" s="8" t="n">
        <v>8904223818881</v>
      </c>
      <c r="C57" s="8" t="s">
        <v>43</v>
      </c>
      <c r="D57" s="8" t="n">
        <f aca="false">C57*IFERROR(INDEX('SKU Master'!$B:$B,MATCH(B57,'SKU Master'!$A:$A,0)),0)</f>
        <v>140</v>
      </c>
    </row>
    <row r="58" customFormat="false" ht="15" hidden="false" customHeight="true" outlineLevel="0" collapsed="false">
      <c r="A58" s="8" t="s">
        <v>67</v>
      </c>
      <c r="B58" s="8" t="n">
        <v>8904223819291</v>
      </c>
      <c r="C58" s="8" t="s">
        <v>45</v>
      </c>
      <c r="D58" s="8" t="n">
        <f aca="false">C58*IFERROR(INDEX('SKU Master'!$B:$B,MATCH(B58,'SKU Master'!$A:$A,0)),0)</f>
        <v>224</v>
      </c>
    </row>
    <row r="59" customFormat="false" ht="15" hidden="false" customHeight="true" outlineLevel="0" collapsed="false">
      <c r="A59" s="8" t="s">
        <v>67</v>
      </c>
      <c r="B59" s="8" t="n">
        <v>8904223819031</v>
      </c>
      <c r="C59" s="8" t="s">
        <v>45</v>
      </c>
      <c r="D59" s="8" t="n">
        <f aca="false">C59*IFERROR(INDEX('SKU Master'!$B:$B,MATCH(B59,'SKU Master'!$A:$A,0)),0)</f>
        <v>224</v>
      </c>
    </row>
    <row r="60" customFormat="false" ht="15" hidden="false" customHeight="true" outlineLevel="0" collapsed="false">
      <c r="A60" s="8" t="s">
        <v>67</v>
      </c>
      <c r="B60" s="8" t="n">
        <v>8904223819024</v>
      </c>
      <c r="C60" s="8" t="s">
        <v>45</v>
      </c>
      <c r="D60" s="8" t="n">
        <f aca="false">C60*IFERROR(INDEX('SKU Master'!$B:$B,MATCH(B60,'SKU Master'!$A:$A,0)),0)</f>
        <v>224</v>
      </c>
    </row>
    <row r="61" customFormat="false" ht="15" hidden="false" customHeight="true" outlineLevel="0" collapsed="false">
      <c r="A61" s="8" t="s">
        <v>67</v>
      </c>
      <c r="B61" s="8" t="n">
        <v>8904223818553</v>
      </c>
      <c r="C61" s="8" t="s">
        <v>43</v>
      </c>
      <c r="D61" s="8" t="n">
        <f aca="false">C61*IFERROR(INDEX('SKU Master'!$B:$B,MATCH(B61,'SKU Master'!$A:$A,0)),0)</f>
        <v>115</v>
      </c>
    </row>
    <row r="62" customFormat="false" ht="15" hidden="false" customHeight="true" outlineLevel="0" collapsed="false">
      <c r="A62" s="8" t="s">
        <v>68</v>
      </c>
      <c r="B62" s="8" t="n">
        <v>8904223818706</v>
      </c>
      <c r="C62" s="8" t="s">
        <v>43</v>
      </c>
      <c r="D62" s="8" t="n">
        <f aca="false">C62*IFERROR(INDEX('SKU Master'!$B:$B,MATCH(B62,'SKU Master'!$A:$A,0)),0)</f>
        <v>127</v>
      </c>
    </row>
    <row r="63" customFormat="false" ht="15" hidden="false" customHeight="true" outlineLevel="0" collapsed="false">
      <c r="A63" s="8" t="s">
        <v>68</v>
      </c>
      <c r="B63" s="8" t="n">
        <v>8904223818942</v>
      </c>
      <c r="C63" s="8" t="s">
        <v>43</v>
      </c>
      <c r="D63" s="8" t="n">
        <f aca="false">C63*IFERROR(INDEX('SKU Master'!$B:$B,MATCH(B63,'SKU Master'!$A:$A,0)),0)</f>
        <v>133</v>
      </c>
    </row>
    <row r="64" customFormat="false" ht="15" hidden="false" customHeight="true" outlineLevel="0" collapsed="false">
      <c r="A64" s="8" t="s">
        <v>68</v>
      </c>
      <c r="B64" s="8" t="n">
        <v>8904223818850</v>
      </c>
      <c r="C64" s="8" t="s">
        <v>43</v>
      </c>
      <c r="D64" s="8" t="n">
        <f aca="false">C64*IFERROR(INDEX('SKU Master'!$B:$B,MATCH(B64,'SKU Master'!$A:$A,0)),0)</f>
        <v>240</v>
      </c>
    </row>
    <row r="65" customFormat="false" ht="15" hidden="false" customHeight="true" outlineLevel="0" collapsed="false">
      <c r="A65" s="8" t="s">
        <v>69</v>
      </c>
      <c r="B65" s="8" t="n">
        <v>8904223816214</v>
      </c>
      <c r="C65" s="8" t="s">
        <v>45</v>
      </c>
      <c r="D65" s="8" t="n">
        <f aca="false">C65*IFERROR(INDEX('SKU Master'!$B:$B,MATCH(B65,'SKU Master'!$A:$A,0)),0)</f>
        <v>240</v>
      </c>
    </row>
    <row r="66" customFormat="false" ht="15" hidden="false" customHeight="true" outlineLevel="0" collapsed="false">
      <c r="A66" s="8" t="s">
        <v>69</v>
      </c>
      <c r="B66" s="8" t="n">
        <v>8904223818874</v>
      </c>
      <c r="C66" s="8" t="s">
        <v>45</v>
      </c>
      <c r="D66" s="8" t="n">
        <f aca="false">C66*IFERROR(INDEX('SKU Master'!$B:$B,MATCH(B66,'SKU Master'!$A:$A,0)),0)</f>
        <v>200</v>
      </c>
    </row>
    <row r="67" customFormat="false" ht="15" hidden="false" customHeight="true" outlineLevel="0" collapsed="false">
      <c r="A67" s="8" t="s">
        <v>69</v>
      </c>
      <c r="B67" s="8" t="n">
        <v>8904223818935</v>
      </c>
      <c r="C67" s="8" t="s">
        <v>48</v>
      </c>
      <c r="D67" s="8" t="n">
        <f aca="false">C67*IFERROR(INDEX('SKU Master'!$B:$B,MATCH(B67,'SKU Master'!$A:$A,0)),0)</f>
        <v>480</v>
      </c>
    </row>
    <row r="68" customFormat="false" ht="15" hidden="false" customHeight="true" outlineLevel="0" collapsed="false">
      <c r="A68" s="8" t="s">
        <v>70</v>
      </c>
      <c r="B68" s="8" t="n">
        <v>8904223816665</v>
      </c>
      <c r="C68" s="8" t="s">
        <v>45</v>
      </c>
      <c r="D68" s="8" t="n">
        <f aca="false">C68*IFERROR(INDEX('SKU Master'!$B:$B,MATCH(B68,'SKU Master'!$A:$A,0)),0)</f>
        <v>204</v>
      </c>
    </row>
    <row r="69" customFormat="false" ht="15" hidden="false" customHeight="true" outlineLevel="0" collapsed="false">
      <c r="A69" s="8" t="s">
        <v>70</v>
      </c>
      <c r="B69" s="8" t="n">
        <v>8904223819277</v>
      </c>
      <c r="C69" s="8" t="s">
        <v>43</v>
      </c>
      <c r="D69" s="8" t="n">
        <f aca="false">C69*IFERROR(INDEX('SKU Master'!$B:$B,MATCH(B69,'SKU Master'!$A:$A,0)),0)</f>
        <v>350</v>
      </c>
    </row>
    <row r="70" customFormat="false" ht="15" hidden="false" customHeight="true" outlineLevel="0" collapsed="false">
      <c r="A70" s="8" t="s">
        <v>71</v>
      </c>
      <c r="B70" s="8" t="n">
        <v>8904223816214</v>
      </c>
      <c r="C70" s="8" t="s">
        <v>43</v>
      </c>
      <c r="D70" s="8" t="n">
        <f aca="false">C70*IFERROR(INDEX('SKU Master'!$B:$B,MATCH(B70,'SKU Master'!$A:$A,0)),0)</f>
        <v>120</v>
      </c>
    </row>
    <row r="71" customFormat="false" ht="15" hidden="false" customHeight="true" outlineLevel="0" collapsed="false">
      <c r="A71" s="8" t="s">
        <v>71</v>
      </c>
      <c r="B71" s="8" t="n">
        <v>8904223818874</v>
      </c>
      <c r="C71" s="8" t="s">
        <v>43</v>
      </c>
      <c r="D71" s="8" t="n">
        <f aca="false">C71*IFERROR(INDEX('SKU Master'!$B:$B,MATCH(B71,'SKU Master'!$A:$A,0)),0)</f>
        <v>100</v>
      </c>
    </row>
    <row r="72" customFormat="false" ht="15" hidden="false" customHeight="true" outlineLevel="0" collapsed="false">
      <c r="A72" s="8" t="s">
        <v>72</v>
      </c>
      <c r="B72" s="8" t="n">
        <v>8904223818706</v>
      </c>
      <c r="C72" s="8" t="s">
        <v>43</v>
      </c>
      <c r="D72" s="8" t="n">
        <f aca="false">C72*IFERROR(INDEX('SKU Master'!$B:$B,MATCH(B72,'SKU Master'!$A:$A,0)),0)</f>
        <v>127</v>
      </c>
    </row>
    <row r="73" customFormat="false" ht="15" hidden="false" customHeight="true" outlineLevel="0" collapsed="false">
      <c r="A73" s="8" t="s">
        <v>73</v>
      </c>
      <c r="B73" s="8" t="n">
        <v>8904223816214</v>
      </c>
      <c r="C73" s="8" t="s">
        <v>43</v>
      </c>
      <c r="D73" s="8" t="n">
        <f aca="false">C73*IFERROR(INDEX('SKU Master'!$B:$B,MATCH(B73,'SKU Master'!$A:$A,0)),0)</f>
        <v>120</v>
      </c>
    </row>
    <row r="74" customFormat="false" ht="15" hidden="false" customHeight="true" outlineLevel="0" collapsed="false">
      <c r="A74" s="8" t="s">
        <v>73</v>
      </c>
      <c r="B74" s="8" t="n">
        <v>8904223818874</v>
      </c>
      <c r="C74" s="8" t="s">
        <v>43</v>
      </c>
      <c r="D74" s="8" t="n">
        <f aca="false">C74*IFERROR(INDEX('SKU Master'!$B:$B,MATCH(B74,'SKU Master'!$A:$A,0)),0)</f>
        <v>100</v>
      </c>
    </row>
    <row r="75" customFormat="false" ht="15" hidden="false" customHeight="true" outlineLevel="0" collapsed="false">
      <c r="A75" s="8" t="s">
        <v>73</v>
      </c>
      <c r="B75" s="8" t="n">
        <v>8904223818706</v>
      </c>
      <c r="C75" s="8" t="s">
        <v>43</v>
      </c>
      <c r="D75" s="8" t="n">
        <f aca="false">C75*IFERROR(INDEX('SKU Master'!$B:$B,MATCH(B75,'SKU Master'!$A:$A,0)),0)</f>
        <v>127</v>
      </c>
    </row>
    <row r="76" customFormat="false" ht="15" hidden="false" customHeight="true" outlineLevel="0" collapsed="false">
      <c r="A76" s="8" t="s">
        <v>73</v>
      </c>
      <c r="B76" s="8" t="n">
        <v>8904223818942</v>
      </c>
      <c r="C76" s="8" t="s">
        <v>43</v>
      </c>
      <c r="D76" s="8" t="n">
        <f aca="false">C76*IFERROR(INDEX('SKU Master'!$B:$B,MATCH(B76,'SKU Master'!$A:$A,0)),0)</f>
        <v>133</v>
      </c>
    </row>
    <row r="77" customFormat="false" ht="15" hidden="false" customHeight="true" outlineLevel="0" collapsed="false">
      <c r="A77" s="8" t="s">
        <v>73</v>
      </c>
      <c r="B77" s="8" t="n">
        <v>8904223818850</v>
      </c>
      <c r="C77" s="8" t="s">
        <v>43</v>
      </c>
      <c r="D77" s="8" t="n">
        <f aca="false">C77*IFERROR(INDEX('SKU Master'!$B:$B,MATCH(B77,'SKU Master'!$A:$A,0)),0)</f>
        <v>240</v>
      </c>
    </row>
    <row r="78" customFormat="false" ht="15" hidden="false" customHeight="true" outlineLevel="0" collapsed="false">
      <c r="A78" s="8" t="s">
        <v>74</v>
      </c>
      <c r="B78" s="8" t="n">
        <v>8904223818706</v>
      </c>
      <c r="C78" s="8" t="s">
        <v>43</v>
      </c>
      <c r="D78" s="8" t="n">
        <f aca="false">C78*IFERROR(INDEX('SKU Master'!$B:$B,MATCH(B78,'SKU Master'!$A:$A,0)),0)</f>
        <v>127</v>
      </c>
    </row>
    <row r="79" customFormat="false" ht="15" hidden="false" customHeight="true" outlineLevel="0" collapsed="false">
      <c r="A79" s="8" t="s">
        <v>74</v>
      </c>
      <c r="B79" s="8" t="n">
        <v>8904223818942</v>
      </c>
      <c r="C79" s="8" t="s">
        <v>43</v>
      </c>
      <c r="D79" s="8" t="n">
        <f aca="false">C79*IFERROR(INDEX('SKU Master'!$B:$B,MATCH(B79,'SKU Master'!$A:$A,0)),0)</f>
        <v>133</v>
      </c>
    </row>
    <row r="80" customFormat="false" ht="15" hidden="false" customHeight="true" outlineLevel="0" collapsed="false">
      <c r="A80" s="8" t="s">
        <v>74</v>
      </c>
      <c r="B80" s="8" t="n">
        <v>8904223818850</v>
      </c>
      <c r="C80" s="8" t="s">
        <v>43</v>
      </c>
      <c r="D80" s="8" t="n">
        <f aca="false">C80*IFERROR(INDEX('SKU Master'!$B:$B,MATCH(B80,'SKU Master'!$A:$A,0)),0)</f>
        <v>240</v>
      </c>
    </row>
    <row r="81" customFormat="false" ht="15" hidden="false" customHeight="true" outlineLevel="0" collapsed="false">
      <c r="A81" s="8" t="s">
        <v>75</v>
      </c>
      <c r="B81" s="8" t="n">
        <v>8904223818478</v>
      </c>
      <c r="C81" s="8" t="s">
        <v>43</v>
      </c>
      <c r="D81" s="8" t="n">
        <f aca="false">C81*IFERROR(INDEX('SKU Master'!$B:$B,MATCH(B81,'SKU Master'!$A:$A,0)),0)</f>
        <v>350</v>
      </c>
    </row>
    <row r="82" customFormat="false" ht="15" hidden="false" customHeight="true" outlineLevel="0" collapsed="false">
      <c r="A82" s="8" t="s">
        <v>75</v>
      </c>
      <c r="B82" s="8" t="n">
        <v>8904223819130</v>
      </c>
      <c r="C82" s="8" t="s">
        <v>43</v>
      </c>
      <c r="D82" s="8" t="n">
        <f aca="false">C82*IFERROR(INDEX('SKU Master'!$B:$B,MATCH(B82,'SKU Master'!$A:$A,0)),0)</f>
        <v>350</v>
      </c>
    </row>
    <row r="83" customFormat="false" ht="15" hidden="false" customHeight="true" outlineLevel="0" collapsed="false">
      <c r="A83" s="8" t="s">
        <v>75</v>
      </c>
      <c r="B83" s="8" t="n">
        <v>8904223819277</v>
      </c>
      <c r="C83" s="8" t="s">
        <v>43</v>
      </c>
      <c r="D83" s="8" t="n">
        <f aca="false">C83*IFERROR(INDEX('SKU Master'!$B:$B,MATCH(B83,'SKU Master'!$A:$A,0)),0)</f>
        <v>350</v>
      </c>
    </row>
    <row r="84" customFormat="false" ht="15" hidden="false" customHeight="true" outlineLevel="0" collapsed="false">
      <c r="A84" s="8" t="s">
        <v>75</v>
      </c>
      <c r="B84" s="8" t="n">
        <v>8904223819284</v>
      </c>
      <c r="C84" s="8" t="s">
        <v>43</v>
      </c>
      <c r="D84" s="8" t="n">
        <f aca="false">C84*IFERROR(INDEX('SKU Master'!$B:$B,MATCH(B84,'SKU Master'!$A:$A,0)),0)</f>
        <v>350</v>
      </c>
    </row>
    <row r="85" customFormat="false" ht="15" hidden="false" customHeight="true" outlineLevel="0" collapsed="false">
      <c r="A85" s="8" t="s">
        <v>75</v>
      </c>
      <c r="B85" s="8" t="s">
        <v>76</v>
      </c>
      <c r="C85" s="8" t="s">
        <v>43</v>
      </c>
      <c r="D85" s="8" t="n">
        <f aca="false">C85*IFERROR(INDEX('SKU Master'!$B:$B,MATCH(B85,'SKU Master'!$A:$A,0)),0)</f>
        <v>500</v>
      </c>
    </row>
    <row r="86" customFormat="false" ht="15" hidden="false" customHeight="true" outlineLevel="0" collapsed="false">
      <c r="A86" s="8" t="s">
        <v>75</v>
      </c>
      <c r="B86" s="8" t="n">
        <v>8904223819291</v>
      </c>
      <c r="C86" s="8" t="s">
        <v>45</v>
      </c>
      <c r="D86" s="8" t="n">
        <f aca="false">C86*IFERROR(INDEX('SKU Master'!$B:$B,MATCH(B86,'SKU Master'!$A:$A,0)),0)</f>
        <v>224</v>
      </c>
    </row>
    <row r="87" customFormat="false" ht="15" hidden="false" customHeight="true" outlineLevel="0" collapsed="false">
      <c r="A87" s="8" t="s">
        <v>75</v>
      </c>
      <c r="B87" s="8" t="n">
        <v>8904223819031</v>
      </c>
      <c r="C87" s="8" t="s">
        <v>45</v>
      </c>
      <c r="D87" s="8" t="n">
        <f aca="false">C87*IFERROR(INDEX('SKU Master'!$B:$B,MATCH(B87,'SKU Master'!$A:$A,0)),0)</f>
        <v>224</v>
      </c>
    </row>
    <row r="88" customFormat="false" ht="15" hidden="false" customHeight="true" outlineLevel="0" collapsed="false">
      <c r="A88" s="8" t="s">
        <v>75</v>
      </c>
      <c r="B88" s="8" t="n">
        <v>8904223819024</v>
      </c>
      <c r="C88" s="8" t="s">
        <v>45</v>
      </c>
      <c r="D88" s="8" t="n">
        <f aca="false">C88*IFERROR(INDEX('SKU Master'!$B:$B,MATCH(B88,'SKU Master'!$A:$A,0)),0)</f>
        <v>224</v>
      </c>
    </row>
    <row r="89" customFormat="false" ht="15" hidden="false" customHeight="true" outlineLevel="0" collapsed="false">
      <c r="A89" s="8" t="s">
        <v>77</v>
      </c>
      <c r="B89" s="8" t="n">
        <v>8904223818980</v>
      </c>
      <c r="C89" s="8" t="s">
        <v>43</v>
      </c>
      <c r="D89" s="8" t="n">
        <f aca="false">C89*IFERROR(INDEX('SKU Master'!$B:$B,MATCH(B89,'SKU Master'!$A:$A,0)),0)</f>
        <v>110</v>
      </c>
    </row>
    <row r="90" customFormat="false" ht="15" hidden="false" customHeight="true" outlineLevel="0" collapsed="false">
      <c r="A90" s="8" t="s">
        <v>77</v>
      </c>
      <c r="B90" s="8" t="n">
        <v>8904223819031</v>
      </c>
      <c r="C90" s="8" t="s">
        <v>48</v>
      </c>
      <c r="D90" s="8" t="n">
        <f aca="false">C90*IFERROR(INDEX('SKU Master'!$B:$B,MATCH(B90,'SKU Master'!$A:$A,0)),0)</f>
        <v>448</v>
      </c>
    </row>
    <row r="91" customFormat="false" ht="15" hidden="false" customHeight="true" outlineLevel="0" collapsed="false">
      <c r="A91" s="8" t="s">
        <v>78</v>
      </c>
      <c r="B91" s="8" t="n">
        <v>8904223819031</v>
      </c>
      <c r="C91" s="8" t="s">
        <v>48</v>
      </c>
      <c r="D91" s="8" t="n">
        <f aca="false">C91*IFERROR(INDEX('SKU Master'!$B:$B,MATCH(B91,'SKU Master'!$A:$A,0)),0)</f>
        <v>448</v>
      </c>
    </row>
    <row r="92" customFormat="false" ht="15" hidden="false" customHeight="true" outlineLevel="0" collapsed="false">
      <c r="A92" s="8" t="s">
        <v>78</v>
      </c>
      <c r="B92" s="8" t="n">
        <v>8904223819017</v>
      </c>
      <c r="C92" s="8" t="s">
        <v>43</v>
      </c>
      <c r="D92" s="8" t="n">
        <f aca="false">C92*IFERROR(INDEX('SKU Master'!$B:$B,MATCH(B92,'SKU Master'!$A:$A,0)),0)</f>
        <v>115</v>
      </c>
    </row>
    <row r="93" customFormat="false" ht="15" hidden="false" customHeight="true" outlineLevel="0" collapsed="false">
      <c r="A93" s="8" t="s">
        <v>79</v>
      </c>
      <c r="B93" s="8" t="n">
        <v>8904223818706</v>
      </c>
      <c r="C93" s="8" t="s">
        <v>43</v>
      </c>
      <c r="D93" s="8" t="n">
        <f aca="false">C93*IFERROR(INDEX('SKU Master'!$B:$B,MATCH(B93,'SKU Master'!$A:$A,0)),0)</f>
        <v>127</v>
      </c>
    </row>
    <row r="94" customFormat="false" ht="15" hidden="false" customHeight="true" outlineLevel="0" collapsed="false">
      <c r="A94" s="8" t="s">
        <v>79</v>
      </c>
      <c r="B94" s="8" t="n">
        <v>8904223818942</v>
      </c>
      <c r="C94" s="8" t="s">
        <v>43</v>
      </c>
      <c r="D94" s="8" t="n">
        <f aca="false">C94*IFERROR(INDEX('SKU Master'!$B:$B,MATCH(B94,'SKU Master'!$A:$A,0)),0)</f>
        <v>133</v>
      </c>
    </row>
    <row r="95" customFormat="false" ht="15" hidden="false" customHeight="true" outlineLevel="0" collapsed="false">
      <c r="A95" s="8" t="s">
        <v>79</v>
      </c>
      <c r="B95" s="8" t="n">
        <v>8904223818850</v>
      </c>
      <c r="C95" s="8" t="s">
        <v>43</v>
      </c>
      <c r="D95" s="8" t="n">
        <f aca="false">C95*IFERROR(INDEX('SKU Master'!$B:$B,MATCH(B95,'SKU Master'!$A:$A,0)),0)</f>
        <v>240</v>
      </c>
    </row>
    <row r="96" customFormat="false" ht="15" hidden="false" customHeight="true" outlineLevel="0" collapsed="false">
      <c r="A96" s="8" t="s">
        <v>80</v>
      </c>
      <c r="B96" s="8" t="n">
        <v>8904223818706</v>
      </c>
      <c r="C96" s="8" t="s">
        <v>43</v>
      </c>
      <c r="D96" s="8" t="n">
        <f aca="false">C96*IFERROR(INDEX('SKU Master'!$B:$B,MATCH(B96,'SKU Master'!$A:$A,0)),0)</f>
        <v>127</v>
      </c>
    </row>
    <row r="97" customFormat="false" ht="15" hidden="false" customHeight="true" outlineLevel="0" collapsed="false">
      <c r="A97" s="8" t="s">
        <v>80</v>
      </c>
      <c r="B97" s="8" t="n">
        <v>8904223818942</v>
      </c>
      <c r="C97" s="8" t="s">
        <v>43</v>
      </c>
      <c r="D97" s="8" t="n">
        <f aca="false">C97*IFERROR(INDEX('SKU Master'!$B:$B,MATCH(B97,'SKU Master'!$A:$A,0)),0)</f>
        <v>133</v>
      </c>
    </row>
    <row r="98" customFormat="false" ht="15" hidden="false" customHeight="true" outlineLevel="0" collapsed="false">
      <c r="A98" s="8" t="s">
        <v>80</v>
      </c>
      <c r="B98" s="8" t="n">
        <v>8904223818850</v>
      </c>
      <c r="C98" s="8" t="s">
        <v>43</v>
      </c>
      <c r="D98" s="8" t="n">
        <f aca="false">C98*IFERROR(INDEX('SKU Master'!$B:$B,MATCH(B98,'SKU Master'!$A:$A,0)),0)</f>
        <v>240</v>
      </c>
    </row>
    <row r="99" customFormat="false" ht="15" hidden="false" customHeight="true" outlineLevel="0" collapsed="false">
      <c r="A99" s="8" t="s">
        <v>81</v>
      </c>
      <c r="B99" s="8" t="n">
        <v>8904223816214</v>
      </c>
      <c r="C99" s="8" t="s">
        <v>43</v>
      </c>
      <c r="D99" s="8" t="n">
        <f aca="false">C99*IFERROR(INDEX('SKU Master'!$B:$B,MATCH(B99,'SKU Master'!$A:$A,0)),0)</f>
        <v>120</v>
      </c>
    </row>
    <row r="100" customFormat="false" ht="15" hidden="false" customHeight="true" outlineLevel="0" collapsed="false">
      <c r="A100" s="8" t="s">
        <v>81</v>
      </c>
      <c r="B100" s="8" t="n">
        <v>8904223818669</v>
      </c>
      <c r="C100" s="8" t="s">
        <v>45</v>
      </c>
      <c r="D100" s="8" t="n">
        <f aca="false">C100*IFERROR(INDEX('SKU Master'!$B:$B,MATCH(B100,'SKU Master'!$A:$A,0)),0)</f>
        <v>480</v>
      </c>
    </row>
    <row r="101" customFormat="false" ht="15" hidden="false" customHeight="true" outlineLevel="0" collapsed="false">
      <c r="A101" s="8" t="s">
        <v>81</v>
      </c>
      <c r="B101" s="8" t="n">
        <v>8904223818683</v>
      </c>
      <c r="C101" s="8" t="s">
        <v>43</v>
      </c>
      <c r="D101" s="8" t="n">
        <f aca="false">C101*IFERROR(INDEX('SKU Master'!$B:$B,MATCH(B101,'SKU Master'!$A:$A,0)),0)</f>
        <v>121</v>
      </c>
    </row>
    <row r="102" customFormat="false" ht="15" hidden="false" customHeight="true" outlineLevel="0" collapsed="false">
      <c r="A102" s="8" t="s">
        <v>82</v>
      </c>
      <c r="B102" s="8" t="n">
        <v>8904223818706</v>
      </c>
      <c r="C102" s="8" t="s">
        <v>43</v>
      </c>
      <c r="D102" s="8" t="n">
        <f aca="false">C102*IFERROR(INDEX('SKU Master'!$B:$B,MATCH(B102,'SKU Master'!$A:$A,0)),0)</f>
        <v>127</v>
      </c>
    </row>
    <row r="103" customFormat="false" ht="15" hidden="false" customHeight="true" outlineLevel="0" collapsed="false">
      <c r="A103" s="8" t="s">
        <v>82</v>
      </c>
      <c r="B103" s="8" t="n">
        <v>8904223818669</v>
      </c>
      <c r="C103" s="8" t="s">
        <v>43</v>
      </c>
      <c r="D103" s="8" t="n">
        <f aca="false">C103*IFERROR(INDEX('SKU Master'!$B:$B,MATCH(B103,'SKU Master'!$A:$A,0)),0)</f>
        <v>240</v>
      </c>
    </row>
    <row r="104" customFormat="false" ht="15" hidden="false" customHeight="true" outlineLevel="0" collapsed="false">
      <c r="A104" s="8" t="s">
        <v>82</v>
      </c>
      <c r="B104" s="8" t="n">
        <v>8904223819499</v>
      </c>
      <c r="C104" s="8" t="s">
        <v>43</v>
      </c>
      <c r="D104" s="8" t="n">
        <f aca="false">C104*IFERROR(INDEX('SKU Master'!$B:$B,MATCH(B104,'SKU Master'!$A:$A,0)),0)</f>
        <v>210</v>
      </c>
    </row>
    <row r="105" customFormat="false" ht="15" hidden="false" customHeight="true" outlineLevel="0" collapsed="false">
      <c r="A105" s="8" t="s">
        <v>82</v>
      </c>
      <c r="B105" s="8" t="n">
        <v>8904223819031</v>
      </c>
      <c r="C105" s="8" t="s">
        <v>43</v>
      </c>
      <c r="D105" s="8" t="n">
        <f aca="false">C105*IFERROR(INDEX('SKU Master'!$B:$B,MATCH(B105,'SKU Master'!$A:$A,0)),0)</f>
        <v>112</v>
      </c>
    </row>
    <row r="106" customFormat="false" ht="15" hidden="false" customHeight="true" outlineLevel="0" collapsed="false">
      <c r="A106" s="8" t="s">
        <v>83</v>
      </c>
      <c r="B106" s="8" t="n">
        <v>8904223818706</v>
      </c>
      <c r="C106" s="8" t="s">
        <v>43</v>
      </c>
      <c r="D106" s="8" t="n">
        <f aca="false">C106*IFERROR(INDEX('SKU Master'!$B:$B,MATCH(B106,'SKU Master'!$A:$A,0)),0)</f>
        <v>127</v>
      </c>
    </row>
    <row r="107" customFormat="false" ht="15" hidden="false" customHeight="true" outlineLevel="0" collapsed="false">
      <c r="A107" s="8" t="s">
        <v>83</v>
      </c>
      <c r="B107" s="8" t="n">
        <v>8904223818850</v>
      </c>
      <c r="C107" s="8" t="s">
        <v>43</v>
      </c>
      <c r="D107" s="8" t="n">
        <f aca="false">C107*IFERROR(INDEX('SKU Master'!$B:$B,MATCH(B107,'SKU Master'!$A:$A,0)),0)</f>
        <v>240</v>
      </c>
    </row>
    <row r="108" customFormat="false" ht="15" hidden="false" customHeight="true" outlineLevel="0" collapsed="false">
      <c r="A108" s="8" t="s">
        <v>83</v>
      </c>
      <c r="B108" s="8" t="n">
        <v>8904223819468</v>
      </c>
      <c r="C108" s="8" t="s">
        <v>43</v>
      </c>
      <c r="D108" s="8" t="n">
        <f aca="false">C108*IFERROR(INDEX('SKU Master'!$B:$B,MATCH(B108,'SKU Master'!$A:$A,0)),0)</f>
        <v>240</v>
      </c>
    </row>
    <row r="109" customFormat="false" ht="15" hidden="false" customHeight="true" outlineLevel="0" collapsed="false">
      <c r="A109" s="8" t="s">
        <v>84</v>
      </c>
      <c r="B109" s="8" t="n">
        <v>8904223815859</v>
      </c>
      <c r="C109" s="8" t="s">
        <v>43</v>
      </c>
      <c r="D109" s="8" t="n">
        <f aca="false">C109*IFERROR(INDEX('SKU Master'!$B:$B,MATCH(B109,'SKU Master'!$A:$A,0)),0)</f>
        <v>165</v>
      </c>
    </row>
    <row r="110" customFormat="false" ht="15" hidden="false" customHeight="true" outlineLevel="0" collapsed="false">
      <c r="A110" s="8" t="s">
        <v>84</v>
      </c>
      <c r="B110" s="8" t="n">
        <v>8904223818751</v>
      </c>
      <c r="C110" s="8" t="s">
        <v>43</v>
      </c>
      <c r="D110" s="8" t="n">
        <f aca="false">C110*IFERROR(INDEX('SKU Master'!$B:$B,MATCH(B110,'SKU Master'!$A:$A,0)),0)</f>
        <v>113</v>
      </c>
    </row>
    <row r="111" customFormat="false" ht="15" hidden="false" customHeight="true" outlineLevel="0" collapsed="false">
      <c r="A111" s="8" t="s">
        <v>84</v>
      </c>
      <c r="B111" s="8" t="n">
        <v>8904223815873</v>
      </c>
      <c r="C111" s="8" t="s">
        <v>43</v>
      </c>
      <c r="D111" s="8" t="n">
        <f aca="false">C111*IFERROR(INDEX('SKU Master'!$B:$B,MATCH(B111,'SKU Master'!$A:$A,0)),0)</f>
        <v>65</v>
      </c>
    </row>
    <row r="112" customFormat="false" ht="15" hidden="false" customHeight="true" outlineLevel="0" collapsed="false">
      <c r="A112" s="8" t="s">
        <v>84</v>
      </c>
      <c r="B112" s="8" t="n">
        <v>8904223815859</v>
      </c>
      <c r="C112" s="8" t="s">
        <v>43</v>
      </c>
      <c r="D112" s="8" t="n">
        <f aca="false">C112*IFERROR(INDEX('SKU Master'!$B:$B,MATCH(B112,'SKU Master'!$A:$A,0)),0)</f>
        <v>165</v>
      </c>
    </row>
    <row r="113" customFormat="false" ht="15" hidden="false" customHeight="true" outlineLevel="0" collapsed="false">
      <c r="A113" s="8" t="s">
        <v>85</v>
      </c>
      <c r="B113" s="8" t="n">
        <v>8904223819352</v>
      </c>
      <c r="C113" s="8" t="s">
        <v>43</v>
      </c>
      <c r="D113" s="8" t="n">
        <f aca="false">C113*IFERROR(INDEX('SKU Master'!$B:$B,MATCH(B113,'SKU Master'!$A:$A,0)),0)</f>
        <v>165</v>
      </c>
    </row>
    <row r="114" customFormat="false" ht="15" hidden="false" customHeight="true" outlineLevel="0" collapsed="false">
      <c r="A114" s="8" t="s">
        <v>85</v>
      </c>
      <c r="B114" s="8" t="n">
        <v>8904223819543</v>
      </c>
      <c r="C114" s="8" t="s">
        <v>43</v>
      </c>
      <c r="D114" s="8" t="n">
        <f aca="false">C114*IFERROR(INDEX('SKU Master'!$B:$B,MATCH(B114,'SKU Master'!$A:$A,0)),0)</f>
        <v>300</v>
      </c>
    </row>
    <row r="115" customFormat="false" ht="15" hidden="false" customHeight="true" outlineLevel="0" collapsed="false">
      <c r="A115" s="8" t="s">
        <v>85</v>
      </c>
      <c r="B115" s="8" t="n">
        <v>8904223819147</v>
      </c>
      <c r="C115" s="8" t="s">
        <v>43</v>
      </c>
      <c r="D115" s="8" t="n">
        <f aca="false">C115*IFERROR(INDEX('SKU Master'!$B:$B,MATCH(B115,'SKU Master'!$A:$A,0)),0)</f>
        <v>240</v>
      </c>
    </row>
    <row r="116" customFormat="false" ht="15" hidden="false" customHeight="true" outlineLevel="0" collapsed="false">
      <c r="A116" s="8" t="s">
        <v>85</v>
      </c>
      <c r="B116" s="8" t="n">
        <v>8904223819468</v>
      </c>
      <c r="C116" s="8" t="s">
        <v>43</v>
      </c>
      <c r="D116" s="8" t="n">
        <f aca="false">C116*IFERROR(INDEX('SKU Master'!$B:$B,MATCH(B116,'SKU Master'!$A:$A,0)),0)</f>
        <v>240</v>
      </c>
    </row>
    <row r="117" customFormat="false" ht="15" hidden="false" customHeight="true" outlineLevel="0" collapsed="false">
      <c r="A117" s="8" t="s">
        <v>86</v>
      </c>
      <c r="B117" s="8" t="n">
        <v>8904223816214</v>
      </c>
      <c r="C117" s="8" t="s">
        <v>43</v>
      </c>
      <c r="D117" s="8" t="n">
        <f aca="false">C117*IFERROR(INDEX('SKU Master'!$B:$B,MATCH(B117,'SKU Master'!$A:$A,0)),0)</f>
        <v>120</v>
      </c>
    </row>
    <row r="118" customFormat="false" ht="15" hidden="false" customHeight="true" outlineLevel="0" collapsed="false">
      <c r="A118" s="8" t="s">
        <v>86</v>
      </c>
      <c r="B118" s="8" t="n">
        <v>8904223819499</v>
      </c>
      <c r="C118" s="8" t="s">
        <v>43</v>
      </c>
      <c r="D118" s="8" t="n">
        <f aca="false">C118*IFERROR(INDEX('SKU Master'!$B:$B,MATCH(B118,'SKU Master'!$A:$A,0)),0)</f>
        <v>210</v>
      </c>
    </row>
    <row r="119" customFormat="false" ht="15" hidden="false" customHeight="true" outlineLevel="0" collapsed="false">
      <c r="A119" s="8" t="s">
        <v>86</v>
      </c>
      <c r="B119" s="8" t="n">
        <v>8904223819505</v>
      </c>
      <c r="C119" s="8" t="s">
        <v>43</v>
      </c>
      <c r="D119" s="8" t="n">
        <f aca="false">C119*IFERROR(INDEX('SKU Master'!$B:$B,MATCH(B119,'SKU Master'!$A:$A,0)),0)</f>
        <v>210</v>
      </c>
    </row>
    <row r="120" customFormat="false" ht="15" hidden="false" customHeight="true" outlineLevel="0" collapsed="false">
      <c r="A120" s="8" t="s">
        <v>86</v>
      </c>
      <c r="B120" s="8" t="n">
        <v>8904223819512</v>
      </c>
      <c r="C120" s="8" t="s">
        <v>43</v>
      </c>
      <c r="D120" s="8" t="n">
        <f aca="false">C120*IFERROR(INDEX('SKU Master'!$B:$B,MATCH(B120,'SKU Master'!$A:$A,0)),0)</f>
        <v>210</v>
      </c>
    </row>
    <row r="121" customFormat="false" ht="15" hidden="false" customHeight="true" outlineLevel="0" collapsed="false">
      <c r="A121" s="8" t="s">
        <v>87</v>
      </c>
      <c r="B121" s="8" t="n">
        <v>8904223819468</v>
      </c>
      <c r="C121" s="8" t="s">
        <v>43</v>
      </c>
      <c r="D121" s="8" t="n">
        <f aca="false">C121*IFERROR(INDEX('SKU Master'!$B:$B,MATCH(B121,'SKU Master'!$A:$A,0)),0)</f>
        <v>240</v>
      </c>
    </row>
    <row r="122" customFormat="false" ht="15" hidden="false" customHeight="true" outlineLevel="0" collapsed="false">
      <c r="A122" s="8" t="s">
        <v>87</v>
      </c>
      <c r="B122" s="8" t="n">
        <v>8904223819345</v>
      </c>
      <c r="C122" s="8" t="s">
        <v>43</v>
      </c>
      <c r="D122" s="8" t="n">
        <f aca="false">C122*IFERROR(INDEX('SKU Master'!$B:$B,MATCH(B122,'SKU Master'!$A:$A,0)),0)</f>
        <v>165</v>
      </c>
    </row>
    <row r="123" customFormat="false" ht="15" hidden="false" customHeight="true" outlineLevel="0" collapsed="false">
      <c r="A123" s="8" t="s">
        <v>87</v>
      </c>
      <c r="B123" s="8" t="n">
        <v>8904223818874</v>
      </c>
      <c r="C123" s="8" t="s">
        <v>43</v>
      </c>
      <c r="D123" s="8" t="n">
        <f aca="false">C123*IFERROR(INDEX('SKU Master'!$B:$B,MATCH(B123,'SKU Master'!$A:$A,0)),0)</f>
        <v>100</v>
      </c>
    </row>
    <row r="124" customFormat="false" ht="15" hidden="false" customHeight="true" outlineLevel="0" collapsed="false">
      <c r="A124" s="8" t="s">
        <v>88</v>
      </c>
      <c r="B124" s="8" t="n">
        <v>8904223816214</v>
      </c>
      <c r="C124" s="8" t="s">
        <v>43</v>
      </c>
      <c r="D124" s="8" t="n">
        <f aca="false">C124*IFERROR(INDEX('SKU Master'!$B:$B,MATCH(B124,'SKU Master'!$A:$A,0)),0)</f>
        <v>120</v>
      </c>
    </row>
    <row r="125" customFormat="false" ht="15" hidden="false" customHeight="true" outlineLevel="0" collapsed="false">
      <c r="A125" s="8" t="s">
        <v>88</v>
      </c>
      <c r="B125" s="8" t="n">
        <v>8904223818874</v>
      </c>
      <c r="C125" s="8" t="s">
        <v>43</v>
      </c>
      <c r="D125" s="8" t="n">
        <f aca="false">C125*IFERROR(INDEX('SKU Master'!$B:$B,MATCH(B125,'SKU Master'!$A:$A,0)),0)</f>
        <v>100</v>
      </c>
    </row>
    <row r="126" customFormat="false" ht="15" hidden="false" customHeight="true" outlineLevel="0" collapsed="false">
      <c r="A126" s="8" t="s">
        <v>88</v>
      </c>
      <c r="B126" s="8" t="n">
        <v>8904223818881</v>
      </c>
      <c r="C126" s="8" t="s">
        <v>43</v>
      </c>
      <c r="D126" s="8" t="n">
        <f aca="false">C126*IFERROR(INDEX('SKU Master'!$B:$B,MATCH(B126,'SKU Master'!$A:$A,0)),0)</f>
        <v>140</v>
      </c>
    </row>
    <row r="127" customFormat="false" ht="15" hidden="false" customHeight="true" outlineLevel="0" collapsed="false">
      <c r="A127" s="8" t="s">
        <v>88</v>
      </c>
      <c r="B127" s="8" t="n">
        <v>8904223819291</v>
      </c>
      <c r="C127" s="8" t="s">
        <v>45</v>
      </c>
      <c r="D127" s="8" t="n">
        <f aca="false">C127*IFERROR(INDEX('SKU Master'!$B:$B,MATCH(B127,'SKU Master'!$A:$A,0)),0)</f>
        <v>224</v>
      </c>
    </row>
    <row r="128" customFormat="false" ht="15" hidden="false" customHeight="true" outlineLevel="0" collapsed="false">
      <c r="A128" s="8" t="s">
        <v>88</v>
      </c>
      <c r="B128" s="8" t="n">
        <v>8904223819031</v>
      </c>
      <c r="C128" s="8" t="s">
        <v>45</v>
      </c>
      <c r="D128" s="8" t="n">
        <f aca="false">C128*IFERROR(INDEX('SKU Master'!$B:$B,MATCH(B128,'SKU Master'!$A:$A,0)),0)</f>
        <v>224</v>
      </c>
    </row>
    <row r="129" customFormat="false" ht="15" hidden="false" customHeight="true" outlineLevel="0" collapsed="false">
      <c r="A129" s="8" t="s">
        <v>88</v>
      </c>
      <c r="B129" s="8" t="n">
        <v>8904223819024</v>
      </c>
      <c r="C129" s="8" t="s">
        <v>45</v>
      </c>
      <c r="D129" s="8" t="n">
        <f aca="false">C129*IFERROR(INDEX('SKU Master'!$B:$B,MATCH(B129,'SKU Master'!$A:$A,0)),0)</f>
        <v>224</v>
      </c>
    </row>
    <row r="130" customFormat="false" ht="15" hidden="false" customHeight="true" outlineLevel="0" collapsed="false">
      <c r="A130" s="8" t="s">
        <v>89</v>
      </c>
      <c r="B130" s="8" t="n">
        <v>8904223818706</v>
      </c>
      <c r="C130" s="8" t="s">
        <v>43</v>
      </c>
      <c r="D130" s="8" t="n">
        <f aca="false">C130*IFERROR(INDEX('SKU Master'!$B:$B,MATCH(B130,'SKU Master'!$A:$A,0)),0)</f>
        <v>127</v>
      </c>
    </row>
    <row r="131" customFormat="false" ht="15" hidden="false" customHeight="true" outlineLevel="0" collapsed="false">
      <c r="A131" s="8" t="s">
        <v>89</v>
      </c>
      <c r="B131" s="8" t="n">
        <v>8904223818850</v>
      </c>
      <c r="C131" s="8" t="s">
        <v>43</v>
      </c>
      <c r="D131" s="8" t="n">
        <f aca="false">C131*IFERROR(INDEX('SKU Master'!$B:$B,MATCH(B131,'SKU Master'!$A:$A,0)),0)</f>
        <v>240</v>
      </c>
    </row>
    <row r="132" customFormat="false" ht="15" hidden="false" customHeight="true" outlineLevel="0" collapsed="false">
      <c r="A132" s="8" t="s">
        <v>89</v>
      </c>
      <c r="B132" s="8" t="n">
        <v>8904223819468</v>
      </c>
      <c r="C132" s="8" t="s">
        <v>43</v>
      </c>
      <c r="D132" s="8" t="n">
        <f aca="false">C132*IFERROR(INDEX('SKU Master'!$B:$B,MATCH(B132,'SKU Master'!$A:$A,0)),0)</f>
        <v>240</v>
      </c>
    </row>
    <row r="133" customFormat="false" ht="15" hidden="false" customHeight="true" outlineLevel="0" collapsed="false">
      <c r="A133" s="8" t="s">
        <v>90</v>
      </c>
      <c r="B133" s="8" t="n">
        <v>8904223818706</v>
      </c>
      <c r="C133" s="8" t="s">
        <v>43</v>
      </c>
      <c r="D133" s="8" t="n">
        <f aca="false">C133*IFERROR(INDEX('SKU Master'!$B:$B,MATCH(B133,'SKU Master'!$A:$A,0)),0)</f>
        <v>127</v>
      </c>
    </row>
    <row r="134" customFormat="false" ht="15" hidden="false" customHeight="true" outlineLevel="0" collapsed="false">
      <c r="A134" s="8" t="s">
        <v>90</v>
      </c>
      <c r="B134" s="8" t="n">
        <v>8904223818942</v>
      </c>
      <c r="C134" s="8" t="s">
        <v>43</v>
      </c>
      <c r="D134" s="8" t="n">
        <f aca="false">C134*IFERROR(INDEX('SKU Master'!$B:$B,MATCH(B134,'SKU Master'!$A:$A,0)),0)</f>
        <v>133</v>
      </c>
    </row>
    <row r="135" customFormat="false" ht="15" hidden="false" customHeight="true" outlineLevel="0" collapsed="false">
      <c r="A135" s="8" t="s">
        <v>90</v>
      </c>
      <c r="B135" s="8" t="n">
        <v>8904223818850</v>
      </c>
      <c r="C135" s="8" t="s">
        <v>43</v>
      </c>
      <c r="D135" s="8" t="n">
        <f aca="false">C135*IFERROR(INDEX('SKU Master'!$B:$B,MATCH(B135,'SKU Master'!$A:$A,0)),0)</f>
        <v>240</v>
      </c>
    </row>
    <row r="136" customFormat="false" ht="15" hidden="false" customHeight="true" outlineLevel="0" collapsed="false">
      <c r="A136" s="8" t="s">
        <v>91</v>
      </c>
      <c r="B136" s="8" t="n">
        <v>8904223818706</v>
      </c>
      <c r="C136" s="8" t="s">
        <v>43</v>
      </c>
      <c r="D136" s="8" t="n">
        <f aca="false">C136*IFERROR(INDEX('SKU Master'!$B:$B,MATCH(B136,'SKU Master'!$A:$A,0)),0)</f>
        <v>127</v>
      </c>
    </row>
    <row r="137" customFormat="false" ht="15" hidden="false" customHeight="true" outlineLevel="0" collapsed="false">
      <c r="A137" s="8" t="s">
        <v>91</v>
      </c>
      <c r="B137" s="8" t="n">
        <v>8904223818683</v>
      </c>
      <c r="C137" s="8" t="s">
        <v>43</v>
      </c>
      <c r="D137" s="8" t="n">
        <f aca="false">C137*IFERROR(INDEX('SKU Master'!$B:$B,MATCH(B137,'SKU Master'!$A:$A,0)),0)</f>
        <v>121</v>
      </c>
    </row>
    <row r="138" customFormat="false" ht="15" hidden="false" customHeight="true" outlineLevel="0" collapsed="false">
      <c r="A138" s="8" t="s">
        <v>91</v>
      </c>
      <c r="B138" s="8" t="n">
        <v>8904223818850</v>
      </c>
      <c r="C138" s="8" t="s">
        <v>43</v>
      </c>
      <c r="D138" s="8" t="n">
        <f aca="false">C138*IFERROR(INDEX('SKU Master'!$B:$B,MATCH(B138,'SKU Master'!$A:$A,0)),0)</f>
        <v>240</v>
      </c>
    </row>
    <row r="139" customFormat="false" ht="15" hidden="false" customHeight="true" outlineLevel="0" collapsed="false">
      <c r="A139" s="8" t="s">
        <v>92</v>
      </c>
      <c r="B139" s="8" t="n">
        <v>8904223818706</v>
      </c>
      <c r="C139" s="8" t="s">
        <v>43</v>
      </c>
      <c r="D139" s="8" t="n">
        <f aca="false">C139*IFERROR(INDEX('SKU Master'!$B:$B,MATCH(B139,'SKU Master'!$A:$A,0)),0)</f>
        <v>127</v>
      </c>
    </row>
    <row r="140" customFormat="false" ht="15" hidden="false" customHeight="true" outlineLevel="0" collapsed="false">
      <c r="A140" s="8" t="s">
        <v>92</v>
      </c>
      <c r="B140" s="8" t="n">
        <v>8904223818850</v>
      </c>
      <c r="C140" s="8" t="s">
        <v>43</v>
      </c>
      <c r="D140" s="8" t="n">
        <f aca="false">C140*IFERROR(INDEX('SKU Master'!$B:$B,MATCH(B140,'SKU Master'!$A:$A,0)),0)</f>
        <v>240</v>
      </c>
    </row>
    <row r="141" customFormat="false" ht="15" hidden="false" customHeight="true" outlineLevel="0" collapsed="false">
      <c r="A141" s="8" t="s">
        <v>92</v>
      </c>
      <c r="B141" s="8" t="n">
        <v>8904223819468</v>
      </c>
      <c r="C141" s="8" t="s">
        <v>43</v>
      </c>
      <c r="D141" s="8" t="n">
        <f aca="false">C141*IFERROR(INDEX('SKU Master'!$B:$B,MATCH(B141,'SKU Master'!$A:$A,0)),0)</f>
        <v>240</v>
      </c>
    </row>
    <row r="142" customFormat="false" ht="15" hidden="false" customHeight="true" outlineLevel="0" collapsed="false">
      <c r="A142" s="8" t="s">
        <v>93</v>
      </c>
      <c r="B142" s="8" t="n">
        <v>8904223819468</v>
      </c>
      <c r="C142" s="8" t="s">
        <v>43</v>
      </c>
      <c r="D142" s="8" t="n">
        <f aca="false">C142*IFERROR(INDEX('SKU Master'!$B:$B,MATCH(B142,'SKU Master'!$A:$A,0)),0)</f>
        <v>240</v>
      </c>
    </row>
    <row r="143" customFormat="false" ht="15" hidden="false" customHeight="true" outlineLevel="0" collapsed="false">
      <c r="A143" s="8" t="s">
        <v>93</v>
      </c>
      <c r="B143" s="8" t="n">
        <v>8904223818454</v>
      </c>
      <c r="C143" s="8" t="s">
        <v>43</v>
      </c>
      <c r="D143" s="8" t="n">
        <f aca="false">C143*IFERROR(INDEX('SKU Master'!$B:$B,MATCH(B143,'SKU Master'!$A:$A,0)),0)</f>
        <v>232</v>
      </c>
    </row>
    <row r="144" customFormat="false" ht="15" hidden="false" customHeight="true" outlineLevel="0" collapsed="false">
      <c r="A144" s="8" t="s">
        <v>93</v>
      </c>
      <c r="B144" s="8" t="n">
        <v>8904223818669</v>
      </c>
      <c r="C144" s="8" t="s">
        <v>43</v>
      </c>
      <c r="D144" s="8" t="n">
        <f aca="false">C144*IFERROR(INDEX('SKU Master'!$B:$B,MATCH(B144,'SKU Master'!$A:$A,0)),0)</f>
        <v>240</v>
      </c>
    </row>
    <row r="145" customFormat="false" ht="15" hidden="false" customHeight="true" outlineLevel="0" collapsed="false">
      <c r="A145" s="8" t="s">
        <v>93</v>
      </c>
      <c r="B145" s="8" t="n">
        <v>8904223818638</v>
      </c>
      <c r="C145" s="8" t="s">
        <v>45</v>
      </c>
      <c r="D145" s="8" t="n">
        <f aca="false">C145*IFERROR(INDEX('SKU Master'!$B:$B,MATCH(B145,'SKU Master'!$A:$A,0)),0)</f>
        <v>274</v>
      </c>
    </row>
    <row r="146" customFormat="false" ht="15" hidden="false" customHeight="true" outlineLevel="0" collapsed="false">
      <c r="A146" s="8" t="s">
        <v>94</v>
      </c>
      <c r="B146" s="8" t="n">
        <v>8904223818706</v>
      </c>
      <c r="C146" s="8" t="s">
        <v>43</v>
      </c>
      <c r="D146" s="8" t="n">
        <f aca="false">C146*IFERROR(INDEX('SKU Master'!$B:$B,MATCH(B146,'SKU Master'!$A:$A,0)),0)</f>
        <v>127</v>
      </c>
    </row>
    <row r="147" customFormat="false" ht="15" hidden="false" customHeight="true" outlineLevel="0" collapsed="false">
      <c r="A147" s="8" t="s">
        <v>94</v>
      </c>
      <c r="B147" s="8" t="n">
        <v>8904223818942</v>
      </c>
      <c r="C147" s="8" t="s">
        <v>43</v>
      </c>
      <c r="D147" s="8" t="n">
        <f aca="false">C147*IFERROR(INDEX('SKU Master'!$B:$B,MATCH(B147,'SKU Master'!$A:$A,0)),0)</f>
        <v>133</v>
      </c>
    </row>
    <row r="148" customFormat="false" ht="15" hidden="false" customHeight="true" outlineLevel="0" collapsed="false">
      <c r="A148" s="8" t="s">
        <v>94</v>
      </c>
      <c r="B148" s="8" t="n">
        <v>8904223818850</v>
      </c>
      <c r="C148" s="8" t="s">
        <v>43</v>
      </c>
      <c r="D148" s="8" t="n">
        <f aca="false">C148*IFERROR(INDEX('SKU Master'!$B:$B,MATCH(B148,'SKU Master'!$A:$A,0)),0)</f>
        <v>240</v>
      </c>
    </row>
    <row r="149" customFormat="false" ht="15" hidden="false" customHeight="true" outlineLevel="0" collapsed="false">
      <c r="A149" s="8" t="s">
        <v>95</v>
      </c>
      <c r="B149" s="8" t="n">
        <v>8904223818706</v>
      </c>
      <c r="C149" s="8" t="s">
        <v>43</v>
      </c>
      <c r="D149" s="8" t="n">
        <f aca="false">C149*IFERROR(INDEX('SKU Master'!$B:$B,MATCH(B149,'SKU Master'!$A:$A,0)),0)</f>
        <v>127</v>
      </c>
    </row>
    <row r="150" customFormat="false" ht="15" hidden="false" customHeight="true" outlineLevel="0" collapsed="false">
      <c r="A150" s="8" t="s">
        <v>95</v>
      </c>
      <c r="B150" s="8" t="n">
        <v>8904223818942</v>
      </c>
      <c r="C150" s="8" t="s">
        <v>43</v>
      </c>
      <c r="D150" s="8" t="n">
        <f aca="false">C150*IFERROR(INDEX('SKU Master'!$B:$B,MATCH(B150,'SKU Master'!$A:$A,0)),0)</f>
        <v>133</v>
      </c>
    </row>
    <row r="151" customFormat="false" ht="15" hidden="false" customHeight="true" outlineLevel="0" collapsed="false">
      <c r="A151" s="8" t="s">
        <v>95</v>
      </c>
      <c r="B151" s="8" t="n">
        <v>8904223818850</v>
      </c>
      <c r="C151" s="8" t="s">
        <v>43</v>
      </c>
      <c r="D151" s="8" t="n">
        <f aca="false">C151*IFERROR(INDEX('SKU Master'!$B:$B,MATCH(B151,'SKU Master'!$A:$A,0)),0)</f>
        <v>240</v>
      </c>
    </row>
    <row r="152" customFormat="false" ht="15" hidden="false" customHeight="true" outlineLevel="0" collapsed="false">
      <c r="A152" s="8" t="s">
        <v>96</v>
      </c>
      <c r="B152" s="8" t="n">
        <v>8904223818850</v>
      </c>
      <c r="C152" s="8" t="s">
        <v>43</v>
      </c>
      <c r="D152" s="8" t="n">
        <f aca="false">C152*IFERROR(INDEX('SKU Master'!$B:$B,MATCH(B152,'SKU Master'!$A:$A,0)),0)</f>
        <v>240</v>
      </c>
    </row>
    <row r="153" customFormat="false" ht="15" hidden="false" customHeight="true" outlineLevel="0" collapsed="false">
      <c r="A153" s="8" t="s">
        <v>96</v>
      </c>
      <c r="B153" s="8" t="n">
        <v>8904223818683</v>
      </c>
      <c r="C153" s="8" t="s">
        <v>43</v>
      </c>
      <c r="D153" s="8" t="n">
        <f aca="false">C153*IFERROR(INDEX('SKU Master'!$B:$B,MATCH(B153,'SKU Master'!$A:$A,0)),0)</f>
        <v>121</v>
      </c>
    </row>
    <row r="154" customFormat="false" ht="15" hidden="false" customHeight="true" outlineLevel="0" collapsed="false">
      <c r="A154" s="8" t="s">
        <v>96</v>
      </c>
      <c r="B154" s="8" t="n">
        <v>8904223819468</v>
      </c>
      <c r="C154" s="8" t="s">
        <v>43</v>
      </c>
      <c r="D154" s="8" t="n">
        <f aca="false">C154*IFERROR(INDEX('SKU Master'!$B:$B,MATCH(B154,'SKU Master'!$A:$A,0)),0)</f>
        <v>240</v>
      </c>
    </row>
    <row r="155" customFormat="false" ht="15" hidden="false" customHeight="true" outlineLevel="0" collapsed="false">
      <c r="A155" s="8" t="s">
        <v>97</v>
      </c>
      <c r="B155" s="8" t="n">
        <v>8904223818850</v>
      </c>
      <c r="C155" s="8" t="s">
        <v>43</v>
      </c>
      <c r="D155" s="8" t="n">
        <f aca="false">C155*IFERROR(INDEX('SKU Master'!$B:$B,MATCH(B155,'SKU Master'!$A:$A,0)),0)</f>
        <v>240</v>
      </c>
    </row>
    <row r="156" customFormat="false" ht="15" hidden="false" customHeight="true" outlineLevel="0" collapsed="false">
      <c r="A156" s="8" t="s">
        <v>97</v>
      </c>
      <c r="B156" s="8" t="n">
        <v>8904223818683</v>
      </c>
      <c r="C156" s="8" t="s">
        <v>43</v>
      </c>
      <c r="D156" s="8" t="n">
        <f aca="false">C156*IFERROR(INDEX('SKU Master'!$B:$B,MATCH(B156,'SKU Master'!$A:$A,0)),0)</f>
        <v>121</v>
      </c>
    </row>
    <row r="157" customFormat="false" ht="15" hidden="false" customHeight="true" outlineLevel="0" collapsed="false">
      <c r="A157" s="8" t="s">
        <v>98</v>
      </c>
      <c r="B157" s="8" t="n">
        <v>8904223819499</v>
      </c>
      <c r="C157" s="8" t="s">
        <v>43</v>
      </c>
      <c r="D157" s="8" t="n">
        <f aca="false">C157*IFERROR(INDEX('SKU Master'!$B:$B,MATCH(B157,'SKU Master'!$A:$A,0)),0)</f>
        <v>210</v>
      </c>
    </row>
    <row r="158" customFormat="false" ht="15" hidden="false" customHeight="true" outlineLevel="0" collapsed="false">
      <c r="A158" s="8" t="s">
        <v>98</v>
      </c>
      <c r="B158" s="8" t="n">
        <v>8904223819505</v>
      </c>
      <c r="C158" s="8" t="s">
        <v>43</v>
      </c>
      <c r="D158" s="8" t="n">
        <f aca="false">C158*IFERROR(INDEX('SKU Master'!$B:$B,MATCH(B158,'SKU Master'!$A:$A,0)),0)</f>
        <v>210</v>
      </c>
    </row>
    <row r="159" customFormat="false" ht="15" hidden="false" customHeight="true" outlineLevel="0" collapsed="false">
      <c r="A159" s="8" t="s">
        <v>98</v>
      </c>
      <c r="B159" s="8" t="n">
        <v>8904223819512</v>
      </c>
      <c r="C159" s="8" t="s">
        <v>43</v>
      </c>
      <c r="D159" s="8" t="n">
        <f aca="false">C159*IFERROR(INDEX('SKU Master'!$B:$B,MATCH(B159,'SKU Master'!$A:$A,0)),0)</f>
        <v>210</v>
      </c>
    </row>
    <row r="160" customFormat="false" ht="15" hidden="false" customHeight="true" outlineLevel="0" collapsed="false">
      <c r="A160" s="8" t="s">
        <v>99</v>
      </c>
      <c r="B160" s="8" t="n">
        <v>8904223819277</v>
      </c>
      <c r="C160" s="8" t="s">
        <v>43</v>
      </c>
      <c r="D160" s="8" t="n">
        <f aca="false">C160*IFERROR(INDEX('SKU Master'!$B:$B,MATCH(B160,'SKU Master'!$A:$A,0)),0)</f>
        <v>350</v>
      </c>
    </row>
    <row r="161" customFormat="false" ht="15" hidden="false" customHeight="true" outlineLevel="0" collapsed="false">
      <c r="A161" s="8" t="s">
        <v>99</v>
      </c>
      <c r="B161" s="8" t="n">
        <v>8904223818478</v>
      </c>
      <c r="C161" s="8" t="s">
        <v>43</v>
      </c>
      <c r="D161" s="8" t="n">
        <f aca="false">C161*IFERROR(INDEX('SKU Master'!$B:$B,MATCH(B161,'SKU Master'!$A:$A,0)),0)</f>
        <v>350</v>
      </c>
    </row>
    <row r="162" customFormat="false" ht="15" hidden="false" customHeight="true" outlineLevel="0" collapsed="false">
      <c r="A162" s="8" t="s">
        <v>99</v>
      </c>
      <c r="B162" s="8" t="n">
        <v>8904223819284</v>
      </c>
      <c r="C162" s="8" t="s">
        <v>43</v>
      </c>
      <c r="D162" s="8" t="n">
        <f aca="false">C162*IFERROR(INDEX('SKU Master'!$B:$B,MATCH(B162,'SKU Master'!$A:$A,0)),0)</f>
        <v>350</v>
      </c>
    </row>
    <row r="163" customFormat="false" ht="15" hidden="false" customHeight="true" outlineLevel="0" collapsed="false">
      <c r="A163" s="8" t="s">
        <v>99</v>
      </c>
      <c r="B163" s="8" t="n">
        <v>8904223819130</v>
      </c>
      <c r="C163" s="8" t="s">
        <v>43</v>
      </c>
      <c r="D163" s="8" t="n">
        <f aca="false">C163*IFERROR(INDEX('SKU Master'!$B:$B,MATCH(B163,'SKU Master'!$A:$A,0)),0)</f>
        <v>350</v>
      </c>
    </row>
    <row r="164" customFormat="false" ht="15" hidden="false" customHeight="true" outlineLevel="0" collapsed="false">
      <c r="A164" s="8" t="s">
        <v>99</v>
      </c>
      <c r="B164" s="8" t="n">
        <v>8904223819031</v>
      </c>
      <c r="C164" s="8" t="s">
        <v>45</v>
      </c>
      <c r="D164" s="8" t="n">
        <f aca="false">C164*IFERROR(INDEX('SKU Master'!$B:$B,MATCH(B164,'SKU Master'!$A:$A,0)),0)</f>
        <v>224</v>
      </c>
    </row>
    <row r="165" customFormat="false" ht="15" hidden="false" customHeight="true" outlineLevel="0" collapsed="false">
      <c r="A165" s="8" t="s">
        <v>99</v>
      </c>
      <c r="B165" s="8" t="n">
        <v>8904223819024</v>
      </c>
      <c r="C165" s="8" t="s">
        <v>45</v>
      </c>
      <c r="D165" s="8" t="n">
        <f aca="false">C165*IFERROR(INDEX('SKU Master'!$B:$B,MATCH(B165,'SKU Master'!$A:$A,0)),0)</f>
        <v>224</v>
      </c>
    </row>
    <row r="166" customFormat="false" ht="15" hidden="false" customHeight="true" outlineLevel="0" collapsed="false">
      <c r="A166" s="8" t="s">
        <v>99</v>
      </c>
      <c r="B166" s="8" t="n">
        <v>8904223816214</v>
      </c>
      <c r="C166" s="8" t="s">
        <v>43</v>
      </c>
      <c r="D166" s="8" t="n">
        <f aca="false">C166*IFERROR(INDEX('SKU Master'!$B:$B,MATCH(B166,'SKU Master'!$A:$A,0)),0)</f>
        <v>120</v>
      </c>
    </row>
    <row r="167" customFormat="false" ht="15" hidden="false" customHeight="true" outlineLevel="0" collapsed="false">
      <c r="A167" s="8" t="s">
        <v>99</v>
      </c>
      <c r="B167" s="8" t="n">
        <v>8904223818874</v>
      </c>
      <c r="C167" s="8" t="s">
        <v>43</v>
      </c>
      <c r="D167" s="8" t="n">
        <f aca="false">C167*IFERROR(INDEX('SKU Master'!$B:$B,MATCH(B167,'SKU Master'!$A:$A,0)),0)</f>
        <v>100</v>
      </c>
    </row>
    <row r="168" customFormat="false" ht="15" hidden="false" customHeight="true" outlineLevel="0" collapsed="false">
      <c r="A168" s="8" t="s">
        <v>99</v>
      </c>
      <c r="B168" s="8" t="n">
        <v>8904223818881</v>
      </c>
      <c r="C168" s="8" t="s">
        <v>43</v>
      </c>
      <c r="D168" s="8" t="n">
        <f aca="false">C168*IFERROR(INDEX('SKU Master'!$B:$B,MATCH(B168,'SKU Master'!$A:$A,0)),0)</f>
        <v>140</v>
      </c>
    </row>
    <row r="169" customFormat="false" ht="15" hidden="false" customHeight="true" outlineLevel="0" collapsed="false">
      <c r="A169" s="8" t="s">
        <v>99</v>
      </c>
      <c r="B169" s="8" t="n">
        <v>8904223818898</v>
      </c>
      <c r="C169" s="8" t="s">
        <v>43</v>
      </c>
      <c r="D169" s="8" t="n">
        <f aca="false">C169*IFERROR(INDEX('SKU Master'!$B:$B,MATCH(B169,'SKU Master'!$A:$A,0)),0)</f>
        <v>140</v>
      </c>
    </row>
    <row r="170" customFormat="false" ht="15" hidden="false" customHeight="true" outlineLevel="0" collapsed="false">
      <c r="A170" s="8" t="s">
        <v>99</v>
      </c>
      <c r="B170" s="8" t="n">
        <v>8904223818706</v>
      </c>
      <c r="C170" s="8" t="s">
        <v>43</v>
      </c>
      <c r="D170" s="8" t="n">
        <f aca="false">C170*IFERROR(INDEX('SKU Master'!$B:$B,MATCH(B170,'SKU Master'!$A:$A,0)),0)</f>
        <v>127</v>
      </c>
    </row>
    <row r="171" customFormat="false" ht="15" hidden="false" customHeight="true" outlineLevel="0" collapsed="false">
      <c r="A171" s="8" t="s">
        <v>99</v>
      </c>
      <c r="B171" s="8" t="n">
        <v>8904223818942</v>
      </c>
      <c r="C171" s="8" t="s">
        <v>43</v>
      </c>
      <c r="D171" s="8" t="n">
        <f aca="false">C171*IFERROR(INDEX('SKU Master'!$B:$B,MATCH(B171,'SKU Master'!$A:$A,0)),0)</f>
        <v>133</v>
      </c>
    </row>
    <row r="172" customFormat="false" ht="15" hidden="false" customHeight="true" outlineLevel="0" collapsed="false">
      <c r="A172" s="8" t="s">
        <v>99</v>
      </c>
      <c r="B172" s="8" t="n">
        <v>8904223818850</v>
      </c>
      <c r="C172" s="8" t="s">
        <v>43</v>
      </c>
      <c r="D172" s="8" t="n">
        <f aca="false">C172*IFERROR(INDEX('SKU Master'!$B:$B,MATCH(B172,'SKU Master'!$A:$A,0)),0)</f>
        <v>240</v>
      </c>
    </row>
    <row r="173" customFormat="false" ht="15" hidden="false" customHeight="true" outlineLevel="0" collapsed="false">
      <c r="A173" s="8" t="s">
        <v>99</v>
      </c>
      <c r="B173" s="8" t="n">
        <v>8904223818454</v>
      </c>
      <c r="C173" s="8" t="s">
        <v>43</v>
      </c>
      <c r="D173" s="8" t="n">
        <f aca="false">C173*IFERROR(INDEX('SKU Master'!$B:$B,MATCH(B173,'SKU Master'!$A:$A,0)),0)</f>
        <v>232</v>
      </c>
    </row>
    <row r="174" customFormat="false" ht="15" hidden="false" customHeight="true" outlineLevel="0" collapsed="false">
      <c r="A174" s="8" t="s">
        <v>100</v>
      </c>
      <c r="B174" s="8" t="n">
        <v>8904223819284</v>
      </c>
      <c r="C174" s="8" t="s">
        <v>43</v>
      </c>
      <c r="D174" s="8" t="n">
        <f aca="false">C174*IFERROR(INDEX('SKU Master'!$B:$B,MATCH(B174,'SKU Master'!$A:$A,0)),0)</f>
        <v>350</v>
      </c>
    </row>
    <row r="175" customFormat="false" ht="15" hidden="false" customHeight="true" outlineLevel="0" collapsed="false">
      <c r="A175" s="8" t="s">
        <v>100</v>
      </c>
      <c r="B175" s="8" t="n">
        <v>8904223819352</v>
      </c>
      <c r="C175" s="8" t="s">
        <v>43</v>
      </c>
      <c r="D175" s="8" t="n">
        <f aca="false">C175*IFERROR(INDEX('SKU Master'!$B:$B,MATCH(B175,'SKU Master'!$A:$A,0)),0)</f>
        <v>165</v>
      </c>
    </row>
    <row r="176" customFormat="false" ht="15" hidden="false" customHeight="true" outlineLevel="0" collapsed="false">
      <c r="A176" s="8" t="s">
        <v>100</v>
      </c>
      <c r="B176" s="8" t="n">
        <v>8904223818935</v>
      </c>
      <c r="C176" s="8" t="s">
        <v>43</v>
      </c>
      <c r="D176" s="8" t="n">
        <f aca="false">C176*IFERROR(INDEX('SKU Master'!$B:$B,MATCH(B176,'SKU Master'!$A:$A,0)),0)</f>
        <v>120</v>
      </c>
    </row>
    <row r="177" customFormat="false" ht="15" hidden="false" customHeight="true" outlineLevel="0" collapsed="false">
      <c r="A177" s="8" t="s">
        <v>100</v>
      </c>
      <c r="B177" s="8" t="n">
        <v>8904223816214</v>
      </c>
      <c r="C177" s="8" t="s">
        <v>43</v>
      </c>
      <c r="D177" s="8" t="n">
        <f aca="false">C177*IFERROR(INDEX('SKU Master'!$B:$B,MATCH(B177,'SKU Master'!$A:$A,0)),0)</f>
        <v>120</v>
      </c>
    </row>
    <row r="178" customFormat="false" ht="15" hidden="false" customHeight="true" outlineLevel="0" collapsed="false">
      <c r="A178" s="8" t="s">
        <v>100</v>
      </c>
      <c r="B178" s="8" t="n">
        <v>8904223818454</v>
      </c>
      <c r="C178" s="8" t="s">
        <v>43</v>
      </c>
      <c r="D178" s="8" t="n">
        <f aca="false">C178*IFERROR(INDEX('SKU Master'!$B:$B,MATCH(B178,'SKU Master'!$A:$A,0)),0)</f>
        <v>232</v>
      </c>
    </row>
    <row r="179" customFormat="false" ht="15" hidden="false" customHeight="true" outlineLevel="0" collapsed="false">
      <c r="A179" s="8" t="s">
        <v>100</v>
      </c>
      <c r="B179" s="8" t="s">
        <v>101</v>
      </c>
      <c r="C179" s="8" t="s">
        <v>43</v>
      </c>
      <c r="D179" s="8" t="n">
        <f aca="false">C179*IFERROR(INDEX('SKU Master'!$B:$B,MATCH(B179,'SKU Master'!$A:$A,0)),0)</f>
        <v>500</v>
      </c>
    </row>
    <row r="180" customFormat="false" ht="15" hidden="false" customHeight="true" outlineLevel="0" collapsed="false">
      <c r="A180" s="8" t="s">
        <v>100</v>
      </c>
      <c r="B180" s="8" t="n">
        <v>8904223819116</v>
      </c>
      <c r="C180" s="8" t="s">
        <v>43</v>
      </c>
      <c r="D180" s="8" t="n">
        <f aca="false">C180*IFERROR(INDEX('SKU Master'!$B:$B,MATCH(B180,'SKU Master'!$A:$A,0)),0)</f>
        <v>30</v>
      </c>
    </row>
    <row r="181" customFormat="false" ht="15" hidden="false" customHeight="true" outlineLevel="0" collapsed="false">
      <c r="A181" s="8" t="s">
        <v>102</v>
      </c>
      <c r="B181" s="8" t="n">
        <v>8904223818706</v>
      </c>
      <c r="C181" s="8" t="s">
        <v>43</v>
      </c>
      <c r="D181" s="8" t="n">
        <f aca="false">C181*IFERROR(INDEX('SKU Master'!$B:$B,MATCH(B181,'SKU Master'!$A:$A,0)),0)</f>
        <v>127</v>
      </c>
    </row>
    <row r="182" customFormat="false" ht="15" hidden="false" customHeight="true" outlineLevel="0" collapsed="false">
      <c r="A182" s="8" t="s">
        <v>102</v>
      </c>
      <c r="B182" s="8" t="n">
        <v>8904223819024</v>
      </c>
      <c r="C182" s="8" t="s">
        <v>52</v>
      </c>
      <c r="D182" s="8" t="n">
        <f aca="false">C182*IFERROR(INDEX('SKU Master'!$B:$B,MATCH(B182,'SKU Master'!$A:$A,0)),0)</f>
        <v>896</v>
      </c>
    </row>
    <row r="183" customFormat="false" ht="15" hidden="false" customHeight="true" outlineLevel="0" collapsed="false">
      <c r="A183" s="8" t="s">
        <v>102</v>
      </c>
      <c r="B183" s="8" t="n">
        <v>8904223818683</v>
      </c>
      <c r="C183" s="8" t="s">
        <v>45</v>
      </c>
      <c r="D183" s="8" t="n">
        <f aca="false">C183*IFERROR(INDEX('SKU Master'!$B:$B,MATCH(B183,'SKU Master'!$A:$A,0)),0)</f>
        <v>242</v>
      </c>
    </row>
    <row r="184" customFormat="false" ht="15" hidden="false" customHeight="true" outlineLevel="0" collapsed="false">
      <c r="A184" s="8" t="s">
        <v>102</v>
      </c>
      <c r="B184" s="8" t="n">
        <v>8904223818850</v>
      </c>
      <c r="C184" s="8" t="s">
        <v>43</v>
      </c>
      <c r="D184" s="8" t="n">
        <f aca="false">C184*IFERROR(INDEX('SKU Master'!$B:$B,MATCH(B184,'SKU Master'!$A:$A,0)),0)</f>
        <v>240</v>
      </c>
    </row>
    <row r="185" customFormat="false" ht="15" hidden="false" customHeight="true" outlineLevel="0" collapsed="false">
      <c r="A185" s="8" t="s">
        <v>103</v>
      </c>
      <c r="B185" s="8" t="n">
        <v>8904223818706</v>
      </c>
      <c r="C185" s="8" t="s">
        <v>43</v>
      </c>
      <c r="D185" s="8" t="n">
        <f aca="false">C185*IFERROR(INDEX('SKU Master'!$B:$B,MATCH(B185,'SKU Master'!$A:$A,0)),0)</f>
        <v>127</v>
      </c>
    </row>
    <row r="186" customFormat="false" ht="15" hidden="false" customHeight="true" outlineLevel="0" collapsed="false">
      <c r="A186" s="8" t="s">
        <v>103</v>
      </c>
      <c r="B186" s="8" t="n">
        <v>8904223818850</v>
      </c>
      <c r="C186" s="8" t="s">
        <v>43</v>
      </c>
      <c r="D186" s="8" t="n">
        <f aca="false">C186*IFERROR(INDEX('SKU Master'!$B:$B,MATCH(B186,'SKU Master'!$A:$A,0)),0)</f>
        <v>240</v>
      </c>
    </row>
    <row r="187" customFormat="false" ht="15" hidden="false" customHeight="true" outlineLevel="0" collapsed="false">
      <c r="A187" s="8" t="s">
        <v>103</v>
      </c>
      <c r="B187" s="8" t="n">
        <v>8904223819468</v>
      </c>
      <c r="C187" s="8" t="s">
        <v>43</v>
      </c>
      <c r="D187" s="8" t="n">
        <f aca="false">C187*IFERROR(INDEX('SKU Master'!$B:$B,MATCH(B187,'SKU Master'!$A:$A,0)),0)</f>
        <v>240</v>
      </c>
    </row>
    <row r="188" customFormat="false" ht="15" hidden="false" customHeight="true" outlineLevel="0" collapsed="false">
      <c r="A188" s="8" t="s">
        <v>104</v>
      </c>
      <c r="B188" s="8" t="n">
        <v>8904223818706</v>
      </c>
      <c r="C188" s="8" t="s">
        <v>43</v>
      </c>
      <c r="D188" s="8" t="n">
        <f aca="false">C188*IFERROR(INDEX('SKU Master'!$B:$B,MATCH(B188,'SKU Master'!$A:$A,0)),0)</f>
        <v>127</v>
      </c>
    </row>
    <row r="189" customFormat="false" ht="15" hidden="false" customHeight="true" outlineLevel="0" collapsed="false">
      <c r="A189" s="8" t="s">
        <v>104</v>
      </c>
      <c r="B189" s="8" t="n">
        <v>8904223818942</v>
      </c>
      <c r="C189" s="8" t="s">
        <v>43</v>
      </c>
      <c r="D189" s="8" t="n">
        <f aca="false">C189*IFERROR(INDEX('SKU Master'!$B:$B,MATCH(B189,'SKU Master'!$A:$A,0)),0)</f>
        <v>133</v>
      </c>
    </row>
    <row r="190" customFormat="false" ht="15" hidden="false" customHeight="true" outlineLevel="0" collapsed="false">
      <c r="A190" s="8" t="s">
        <v>104</v>
      </c>
      <c r="B190" s="8" t="n">
        <v>8904223818850</v>
      </c>
      <c r="C190" s="8" t="s">
        <v>43</v>
      </c>
      <c r="D190" s="8" t="n">
        <f aca="false">C190*IFERROR(INDEX('SKU Master'!$B:$B,MATCH(B190,'SKU Master'!$A:$A,0)),0)</f>
        <v>240</v>
      </c>
    </row>
    <row r="191" customFormat="false" ht="15" hidden="false" customHeight="true" outlineLevel="0" collapsed="false">
      <c r="A191" s="8" t="s">
        <v>105</v>
      </c>
      <c r="B191" s="8" t="n">
        <v>8904223818706</v>
      </c>
      <c r="C191" s="8" t="s">
        <v>43</v>
      </c>
      <c r="D191" s="8" t="n">
        <f aca="false">C191*IFERROR(INDEX('SKU Master'!$B:$B,MATCH(B191,'SKU Master'!$A:$A,0)),0)</f>
        <v>127</v>
      </c>
    </row>
    <row r="192" customFormat="false" ht="15" hidden="false" customHeight="true" outlineLevel="0" collapsed="false">
      <c r="A192" s="8" t="s">
        <v>105</v>
      </c>
      <c r="B192" s="8" t="n">
        <v>8904223818942</v>
      </c>
      <c r="C192" s="8" t="s">
        <v>43</v>
      </c>
      <c r="D192" s="8" t="n">
        <f aca="false">C192*IFERROR(INDEX('SKU Master'!$B:$B,MATCH(B192,'SKU Master'!$A:$A,0)),0)</f>
        <v>133</v>
      </c>
    </row>
    <row r="193" customFormat="false" ht="15" hidden="false" customHeight="true" outlineLevel="0" collapsed="false">
      <c r="A193" s="8" t="s">
        <v>105</v>
      </c>
      <c r="B193" s="8" t="n">
        <v>8904223818850</v>
      </c>
      <c r="C193" s="8" t="s">
        <v>43</v>
      </c>
      <c r="D193" s="8" t="n">
        <f aca="false">C193*IFERROR(INDEX('SKU Master'!$B:$B,MATCH(B193,'SKU Master'!$A:$A,0)),0)</f>
        <v>240</v>
      </c>
    </row>
    <row r="194" customFormat="false" ht="15" hidden="false" customHeight="true" outlineLevel="0" collapsed="false">
      <c r="A194" s="8" t="s">
        <v>106</v>
      </c>
      <c r="B194" s="8" t="n">
        <v>8904223818706</v>
      </c>
      <c r="C194" s="8" t="s">
        <v>43</v>
      </c>
      <c r="D194" s="8" t="n">
        <f aca="false">C194*IFERROR(INDEX('SKU Master'!$B:$B,MATCH(B194,'SKU Master'!$A:$A,0)),0)</f>
        <v>127</v>
      </c>
    </row>
    <row r="195" customFormat="false" ht="15" hidden="false" customHeight="true" outlineLevel="0" collapsed="false">
      <c r="A195" s="8" t="s">
        <v>106</v>
      </c>
      <c r="B195" s="8" t="n">
        <v>8904223818942</v>
      </c>
      <c r="C195" s="8" t="s">
        <v>43</v>
      </c>
      <c r="D195" s="8" t="n">
        <f aca="false">C195*IFERROR(INDEX('SKU Master'!$B:$B,MATCH(B195,'SKU Master'!$A:$A,0)),0)</f>
        <v>133</v>
      </c>
    </row>
    <row r="196" customFormat="false" ht="15" hidden="false" customHeight="true" outlineLevel="0" collapsed="false">
      <c r="A196" s="8" t="s">
        <v>106</v>
      </c>
      <c r="B196" s="8" t="n">
        <v>8904223818850</v>
      </c>
      <c r="C196" s="8" t="s">
        <v>43</v>
      </c>
      <c r="D196" s="8" t="n">
        <f aca="false">C196*IFERROR(INDEX('SKU Master'!$B:$B,MATCH(B196,'SKU Master'!$A:$A,0)),0)</f>
        <v>240</v>
      </c>
    </row>
    <row r="197" customFormat="false" ht="15" hidden="false" customHeight="true" outlineLevel="0" collapsed="false">
      <c r="A197" s="8" t="s">
        <v>107</v>
      </c>
      <c r="B197" s="8" t="n">
        <v>8904223818706</v>
      </c>
      <c r="C197" s="8" t="s">
        <v>43</v>
      </c>
      <c r="D197" s="8" t="n">
        <f aca="false">C197*IFERROR(INDEX('SKU Master'!$B:$B,MATCH(B197,'SKU Master'!$A:$A,0)),0)</f>
        <v>127</v>
      </c>
    </row>
    <row r="198" customFormat="false" ht="15" hidden="false" customHeight="true" outlineLevel="0" collapsed="false">
      <c r="A198" s="8" t="s">
        <v>107</v>
      </c>
      <c r="B198" s="8" t="n">
        <v>8904223818942</v>
      </c>
      <c r="C198" s="8" t="s">
        <v>43</v>
      </c>
      <c r="D198" s="8" t="n">
        <f aca="false">C198*IFERROR(INDEX('SKU Master'!$B:$B,MATCH(B198,'SKU Master'!$A:$A,0)),0)</f>
        <v>133</v>
      </c>
    </row>
    <row r="199" customFormat="false" ht="15" hidden="false" customHeight="true" outlineLevel="0" collapsed="false">
      <c r="A199" s="8" t="s">
        <v>107</v>
      </c>
      <c r="B199" s="8" t="n">
        <v>8904223818850</v>
      </c>
      <c r="C199" s="8" t="s">
        <v>43</v>
      </c>
      <c r="D199" s="8" t="n">
        <f aca="false">C199*IFERROR(INDEX('SKU Master'!$B:$B,MATCH(B199,'SKU Master'!$A:$A,0)),0)</f>
        <v>240</v>
      </c>
    </row>
    <row r="200" customFormat="false" ht="15" hidden="false" customHeight="true" outlineLevel="0" collapsed="false">
      <c r="A200" s="8" t="s">
        <v>108</v>
      </c>
      <c r="B200" s="8" t="n">
        <v>8904223819338</v>
      </c>
      <c r="C200" s="8" t="s">
        <v>43</v>
      </c>
      <c r="D200" s="8" t="n">
        <f aca="false">C200*IFERROR(INDEX('SKU Master'!$B:$B,MATCH(B200,'SKU Master'!$A:$A,0)),0)</f>
        <v>600</v>
      </c>
    </row>
    <row r="201" customFormat="false" ht="15" hidden="false" customHeight="true" outlineLevel="0" collapsed="false">
      <c r="A201" s="8" t="s">
        <v>109</v>
      </c>
      <c r="B201" s="8" t="n">
        <v>8904223817273</v>
      </c>
      <c r="C201" s="8" t="s">
        <v>45</v>
      </c>
      <c r="D201" s="8" t="n">
        <f aca="false">C201*IFERROR(INDEX('SKU Master'!$B:$B,MATCH(B201,'SKU Master'!$A:$A,0)),0)</f>
        <v>130</v>
      </c>
    </row>
    <row r="202" customFormat="false" ht="15" hidden="false" customHeight="true" outlineLevel="0" collapsed="false">
      <c r="A202" s="8" t="s">
        <v>109</v>
      </c>
      <c r="B202" s="8" t="n">
        <v>8904223815866</v>
      </c>
      <c r="C202" s="8" t="s">
        <v>45</v>
      </c>
      <c r="D202" s="8" t="n">
        <f aca="false">C202*IFERROR(INDEX('SKU Master'!$B:$B,MATCH(B202,'SKU Master'!$A:$A,0)),0)</f>
        <v>226</v>
      </c>
    </row>
    <row r="203" customFormat="false" ht="15" hidden="false" customHeight="true" outlineLevel="0" collapsed="false">
      <c r="A203" s="8" t="s">
        <v>109</v>
      </c>
      <c r="B203" s="8" t="n">
        <v>8904223815859</v>
      </c>
      <c r="C203" s="8" t="s">
        <v>43</v>
      </c>
      <c r="D203" s="8" t="n">
        <f aca="false">C203*IFERROR(INDEX('SKU Master'!$B:$B,MATCH(B203,'SKU Master'!$A:$A,0)),0)</f>
        <v>165</v>
      </c>
    </row>
    <row r="204" customFormat="false" ht="15" hidden="false" customHeight="true" outlineLevel="0" collapsed="false">
      <c r="A204" s="8" t="s">
        <v>109</v>
      </c>
      <c r="B204" s="8" t="n">
        <v>8904223815682</v>
      </c>
      <c r="C204" s="8" t="s">
        <v>43</v>
      </c>
      <c r="D204" s="8" t="n">
        <f aca="false">C204*IFERROR(INDEX('SKU Master'!$B:$B,MATCH(B204,'SKU Master'!$A:$A,0)),0)</f>
        <v>210</v>
      </c>
    </row>
    <row r="205" customFormat="false" ht="15" hidden="false" customHeight="true" outlineLevel="0" collapsed="false">
      <c r="A205" s="8" t="s">
        <v>110</v>
      </c>
      <c r="B205" s="8" t="n">
        <v>8904223816214</v>
      </c>
      <c r="C205" s="8" t="s">
        <v>43</v>
      </c>
      <c r="D205" s="8" t="n">
        <f aca="false">C205*IFERROR(INDEX('SKU Master'!$B:$B,MATCH(B205,'SKU Master'!$A:$A,0)),0)</f>
        <v>120</v>
      </c>
    </row>
    <row r="206" customFormat="false" ht="15" hidden="false" customHeight="true" outlineLevel="0" collapsed="false">
      <c r="A206" s="8" t="s">
        <v>110</v>
      </c>
      <c r="B206" s="8" t="n">
        <v>8904223818874</v>
      </c>
      <c r="C206" s="8" t="s">
        <v>43</v>
      </c>
      <c r="D206" s="8" t="n">
        <f aca="false">C206*IFERROR(INDEX('SKU Master'!$B:$B,MATCH(B206,'SKU Master'!$A:$A,0)),0)</f>
        <v>100</v>
      </c>
    </row>
    <row r="207" customFormat="false" ht="15" hidden="false" customHeight="true" outlineLevel="0" collapsed="false">
      <c r="A207" s="8" t="s">
        <v>111</v>
      </c>
      <c r="B207" s="8" t="n">
        <v>8904223818706</v>
      </c>
      <c r="C207" s="8" t="s">
        <v>43</v>
      </c>
      <c r="D207" s="8" t="n">
        <f aca="false">C207*IFERROR(INDEX('SKU Master'!$B:$B,MATCH(B207,'SKU Master'!$A:$A,0)),0)</f>
        <v>127</v>
      </c>
    </row>
    <row r="208" customFormat="false" ht="15" hidden="false" customHeight="true" outlineLevel="0" collapsed="false">
      <c r="A208" s="8" t="s">
        <v>111</v>
      </c>
      <c r="B208" s="8" t="n">
        <v>8904223818942</v>
      </c>
      <c r="C208" s="8" t="s">
        <v>43</v>
      </c>
      <c r="D208" s="8" t="n">
        <f aca="false">C208*IFERROR(INDEX('SKU Master'!$B:$B,MATCH(B208,'SKU Master'!$A:$A,0)),0)</f>
        <v>133</v>
      </c>
    </row>
    <row r="209" customFormat="false" ht="15" hidden="false" customHeight="true" outlineLevel="0" collapsed="false">
      <c r="A209" s="8" t="s">
        <v>111</v>
      </c>
      <c r="B209" s="8" t="n">
        <v>8904223818850</v>
      </c>
      <c r="C209" s="8" t="s">
        <v>43</v>
      </c>
      <c r="D209" s="8" t="n">
        <f aca="false">C209*IFERROR(INDEX('SKU Master'!$B:$B,MATCH(B209,'SKU Master'!$A:$A,0)),0)</f>
        <v>240</v>
      </c>
    </row>
    <row r="210" customFormat="false" ht="15" hidden="false" customHeight="true" outlineLevel="0" collapsed="false">
      <c r="A210" s="8" t="s">
        <v>112</v>
      </c>
      <c r="B210" s="8" t="n">
        <v>8904223818614</v>
      </c>
      <c r="C210" s="8" t="s">
        <v>43</v>
      </c>
      <c r="D210" s="8" t="n">
        <f aca="false">C210*IFERROR(INDEX('SKU Master'!$B:$B,MATCH(B210,'SKU Master'!$A:$A,0)),0)</f>
        <v>65</v>
      </c>
    </row>
    <row r="211" customFormat="false" ht="15" hidden="false" customHeight="true" outlineLevel="0" collapsed="false">
      <c r="A211" s="8" t="s">
        <v>112</v>
      </c>
      <c r="B211" s="8" t="n">
        <v>8904223815866</v>
      </c>
      <c r="C211" s="8" t="s">
        <v>43</v>
      </c>
      <c r="D211" s="8" t="n">
        <f aca="false">C211*IFERROR(INDEX('SKU Master'!$B:$B,MATCH(B211,'SKU Master'!$A:$A,0)),0)</f>
        <v>113</v>
      </c>
    </row>
    <row r="212" customFormat="false" ht="15" hidden="false" customHeight="true" outlineLevel="0" collapsed="false">
      <c r="A212" s="8" t="s">
        <v>112</v>
      </c>
      <c r="B212" s="8" t="n">
        <v>8904223815859</v>
      </c>
      <c r="C212" s="8" t="s">
        <v>43</v>
      </c>
      <c r="D212" s="8" t="n">
        <f aca="false">C212*IFERROR(INDEX('SKU Master'!$B:$B,MATCH(B212,'SKU Master'!$A:$A,0)),0)</f>
        <v>165</v>
      </c>
    </row>
    <row r="213" customFormat="false" ht="15" hidden="false" customHeight="true" outlineLevel="0" collapsed="false">
      <c r="A213" s="8" t="s">
        <v>112</v>
      </c>
      <c r="B213" s="8" t="n">
        <v>8904223817334</v>
      </c>
      <c r="C213" s="8" t="s">
        <v>43</v>
      </c>
      <c r="D213" s="8" t="n">
        <f aca="false">C213*IFERROR(INDEX('SKU Master'!$B:$B,MATCH(B213,'SKU Master'!$A:$A,0)),0)</f>
        <v>170</v>
      </c>
    </row>
    <row r="214" customFormat="false" ht="15" hidden="false" customHeight="true" outlineLevel="0" collapsed="false">
      <c r="A214" s="8" t="s">
        <v>112</v>
      </c>
      <c r="B214" s="8" t="s">
        <v>113</v>
      </c>
      <c r="C214" s="8" t="s">
        <v>43</v>
      </c>
      <c r="D214" s="8" t="n">
        <f aca="false">C214*IFERROR(INDEX('SKU Master'!$B:$B,MATCH(B214,'SKU Master'!$A:$A,0)),0)</f>
        <v>500</v>
      </c>
    </row>
    <row r="215" customFormat="false" ht="15" hidden="false" customHeight="true" outlineLevel="0" collapsed="false">
      <c r="A215" s="8" t="s">
        <v>112</v>
      </c>
      <c r="B215" s="8" t="n">
        <v>8904223819369</v>
      </c>
      <c r="C215" s="8" t="s">
        <v>43</v>
      </c>
      <c r="D215" s="8" t="n">
        <f aca="false">C215*IFERROR(INDEX('SKU Master'!$B:$B,MATCH(B215,'SKU Master'!$A:$A,0)),0)</f>
        <v>170</v>
      </c>
    </row>
    <row r="216" customFormat="false" ht="15" hidden="false" customHeight="true" outlineLevel="0" collapsed="false">
      <c r="A216" s="8" t="s">
        <v>114</v>
      </c>
      <c r="B216" s="8" t="n">
        <v>8904223818706</v>
      </c>
      <c r="C216" s="8" t="s">
        <v>43</v>
      </c>
      <c r="D216" s="8" t="n">
        <f aca="false">C216*IFERROR(INDEX('SKU Master'!$B:$B,MATCH(B216,'SKU Master'!$A:$A,0)),0)</f>
        <v>127</v>
      </c>
    </row>
    <row r="217" customFormat="false" ht="15" hidden="false" customHeight="true" outlineLevel="0" collapsed="false">
      <c r="A217" s="8" t="s">
        <v>114</v>
      </c>
      <c r="B217" s="8" t="n">
        <v>8904223818942</v>
      </c>
      <c r="C217" s="8" t="s">
        <v>43</v>
      </c>
      <c r="D217" s="8" t="n">
        <f aca="false">C217*IFERROR(INDEX('SKU Master'!$B:$B,MATCH(B217,'SKU Master'!$A:$A,0)),0)</f>
        <v>133</v>
      </c>
    </row>
    <row r="218" customFormat="false" ht="15" hidden="false" customHeight="true" outlineLevel="0" collapsed="false">
      <c r="A218" s="8" t="s">
        <v>114</v>
      </c>
      <c r="B218" s="8" t="n">
        <v>8904223818850</v>
      </c>
      <c r="C218" s="8" t="s">
        <v>43</v>
      </c>
      <c r="D218" s="8" t="n">
        <f aca="false">C218*IFERROR(INDEX('SKU Master'!$B:$B,MATCH(B218,'SKU Master'!$A:$A,0)),0)</f>
        <v>240</v>
      </c>
    </row>
    <row r="219" customFormat="false" ht="15" hidden="false" customHeight="true" outlineLevel="0" collapsed="false">
      <c r="A219" s="8" t="s">
        <v>115</v>
      </c>
      <c r="B219" s="8" t="n">
        <v>8904223819468</v>
      </c>
      <c r="C219" s="8" t="s">
        <v>45</v>
      </c>
      <c r="D219" s="8" t="n">
        <f aca="false">C219*IFERROR(INDEX('SKU Master'!$B:$B,MATCH(B219,'SKU Master'!$A:$A,0)),0)</f>
        <v>480</v>
      </c>
    </row>
    <row r="220" customFormat="false" ht="15" hidden="false" customHeight="true" outlineLevel="0" collapsed="false">
      <c r="A220" s="8" t="s">
        <v>115</v>
      </c>
      <c r="B220" s="8" t="n">
        <v>8904223818706</v>
      </c>
      <c r="C220" s="8" t="s">
        <v>45</v>
      </c>
      <c r="D220" s="8" t="n">
        <f aca="false">C220*IFERROR(INDEX('SKU Master'!$B:$B,MATCH(B220,'SKU Master'!$A:$A,0)),0)</f>
        <v>254</v>
      </c>
    </row>
    <row r="221" customFormat="false" ht="15" hidden="false" customHeight="true" outlineLevel="0" collapsed="false">
      <c r="A221" s="8" t="s">
        <v>116</v>
      </c>
      <c r="B221" s="8" t="n">
        <v>8904223818706</v>
      </c>
      <c r="C221" s="8" t="s">
        <v>43</v>
      </c>
      <c r="D221" s="8" t="n">
        <f aca="false">C221*IFERROR(INDEX('SKU Master'!$B:$B,MATCH(B221,'SKU Master'!$A:$A,0)),0)</f>
        <v>127</v>
      </c>
    </row>
    <row r="222" customFormat="false" ht="15" hidden="false" customHeight="true" outlineLevel="0" collapsed="false">
      <c r="A222" s="8" t="s">
        <v>116</v>
      </c>
      <c r="B222" s="8" t="n">
        <v>8904223818850</v>
      </c>
      <c r="C222" s="8" t="s">
        <v>43</v>
      </c>
      <c r="D222" s="8" t="n">
        <f aca="false">C222*IFERROR(INDEX('SKU Master'!$B:$B,MATCH(B222,'SKU Master'!$A:$A,0)),0)</f>
        <v>240</v>
      </c>
    </row>
    <row r="223" customFormat="false" ht="15" hidden="false" customHeight="true" outlineLevel="0" collapsed="false">
      <c r="A223" s="8" t="s">
        <v>116</v>
      </c>
      <c r="B223" s="8" t="n">
        <v>8904223819468</v>
      </c>
      <c r="C223" s="8" t="s">
        <v>43</v>
      </c>
      <c r="D223" s="8" t="n">
        <f aca="false">C223*IFERROR(INDEX('SKU Master'!$B:$B,MATCH(B223,'SKU Master'!$A:$A,0)),0)</f>
        <v>240</v>
      </c>
    </row>
    <row r="224" customFormat="false" ht="15" hidden="false" customHeight="true" outlineLevel="0" collapsed="false">
      <c r="A224" s="8" t="s">
        <v>117</v>
      </c>
      <c r="B224" s="8" t="n">
        <v>8904223818706</v>
      </c>
      <c r="C224" s="8" t="s">
        <v>43</v>
      </c>
      <c r="D224" s="8" t="n">
        <f aca="false">C224*IFERROR(INDEX('SKU Master'!$B:$B,MATCH(B224,'SKU Master'!$A:$A,0)),0)</f>
        <v>127</v>
      </c>
    </row>
    <row r="225" customFormat="false" ht="15" hidden="false" customHeight="true" outlineLevel="0" collapsed="false">
      <c r="A225" s="8" t="s">
        <v>117</v>
      </c>
      <c r="B225" s="8" t="n">
        <v>8904223818942</v>
      </c>
      <c r="C225" s="8" t="s">
        <v>43</v>
      </c>
      <c r="D225" s="8" t="n">
        <f aca="false">C225*IFERROR(INDEX('SKU Master'!$B:$B,MATCH(B225,'SKU Master'!$A:$A,0)),0)</f>
        <v>133</v>
      </c>
    </row>
    <row r="226" customFormat="false" ht="15" hidden="false" customHeight="true" outlineLevel="0" collapsed="false">
      <c r="A226" s="8" t="s">
        <v>117</v>
      </c>
      <c r="B226" s="8" t="n">
        <v>8904223818850</v>
      </c>
      <c r="C226" s="8" t="s">
        <v>43</v>
      </c>
      <c r="D226" s="8" t="n">
        <f aca="false">C226*IFERROR(INDEX('SKU Master'!$B:$B,MATCH(B226,'SKU Master'!$A:$A,0)),0)</f>
        <v>240</v>
      </c>
    </row>
    <row r="227" customFormat="false" ht="15" hidden="false" customHeight="true" outlineLevel="0" collapsed="false">
      <c r="A227" s="8" t="s">
        <v>118</v>
      </c>
      <c r="B227" s="8" t="n">
        <v>8904223819161</v>
      </c>
      <c r="C227" s="8" t="s">
        <v>43</v>
      </c>
      <c r="D227" s="8" t="n">
        <f aca="false">C227*IFERROR(INDEX('SKU Master'!$B:$B,MATCH(B227,'SKU Master'!$A:$A,0)),0)</f>
        <v>115</v>
      </c>
    </row>
    <row r="228" customFormat="false" ht="15" hidden="false" customHeight="true" outlineLevel="0" collapsed="false">
      <c r="A228" s="8" t="s">
        <v>118</v>
      </c>
      <c r="B228" s="8" t="n">
        <v>8904223819260</v>
      </c>
      <c r="C228" s="8" t="s">
        <v>43</v>
      </c>
      <c r="D228" s="8" t="n">
        <f aca="false">C228*IFERROR(INDEX('SKU Master'!$B:$B,MATCH(B228,'SKU Master'!$A:$A,0)),0)</f>
        <v>130</v>
      </c>
    </row>
    <row r="229" customFormat="false" ht="15" hidden="false" customHeight="true" outlineLevel="0" collapsed="false">
      <c r="A229" s="8" t="s">
        <v>119</v>
      </c>
      <c r="B229" s="8" t="n">
        <v>8904223818683</v>
      </c>
      <c r="C229" s="8" t="s">
        <v>43</v>
      </c>
      <c r="D229" s="8" t="n">
        <f aca="false">C229*IFERROR(INDEX('SKU Master'!$B:$B,MATCH(B229,'SKU Master'!$A:$A,0)),0)</f>
        <v>121</v>
      </c>
    </row>
    <row r="230" customFormat="false" ht="15" hidden="false" customHeight="true" outlineLevel="0" collapsed="false">
      <c r="A230" s="8" t="s">
        <v>119</v>
      </c>
      <c r="B230" s="8" t="n">
        <v>8904223819468</v>
      </c>
      <c r="C230" s="8" t="s">
        <v>43</v>
      </c>
      <c r="D230" s="8" t="n">
        <f aca="false">C230*IFERROR(INDEX('SKU Master'!$B:$B,MATCH(B230,'SKU Master'!$A:$A,0)),0)</f>
        <v>240</v>
      </c>
    </row>
    <row r="231" customFormat="false" ht="15" hidden="false" customHeight="true" outlineLevel="0" collapsed="false">
      <c r="A231" s="8" t="s">
        <v>119</v>
      </c>
      <c r="B231" s="8" t="n">
        <v>8904223818850</v>
      </c>
      <c r="C231" s="8" t="s">
        <v>43</v>
      </c>
      <c r="D231" s="8" t="n">
        <f aca="false">C231*IFERROR(INDEX('SKU Master'!$B:$B,MATCH(B231,'SKU Master'!$A:$A,0)),0)</f>
        <v>240</v>
      </c>
    </row>
    <row r="232" customFormat="false" ht="15" hidden="false" customHeight="true" outlineLevel="0" collapsed="false">
      <c r="A232" s="8" t="s">
        <v>120</v>
      </c>
      <c r="B232" s="8" t="n">
        <v>8904223818706</v>
      </c>
      <c r="C232" s="8" t="s">
        <v>43</v>
      </c>
      <c r="D232" s="8" t="n">
        <f aca="false">C232*IFERROR(INDEX('SKU Master'!$B:$B,MATCH(B232,'SKU Master'!$A:$A,0)),0)</f>
        <v>127</v>
      </c>
    </row>
    <row r="233" customFormat="false" ht="15" hidden="false" customHeight="true" outlineLevel="0" collapsed="false">
      <c r="A233" s="8" t="s">
        <v>120</v>
      </c>
      <c r="B233" s="8" t="n">
        <v>8904223818850</v>
      </c>
      <c r="C233" s="8" t="s">
        <v>43</v>
      </c>
      <c r="D233" s="8" t="n">
        <f aca="false">C233*IFERROR(INDEX('SKU Master'!$B:$B,MATCH(B233,'SKU Master'!$A:$A,0)),0)</f>
        <v>240</v>
      </c>
    </row>
    <row r="234" customFormat="false" ht="15" hidden="false" customHeight="true" outlineLevel="0" collapsed="false">
      <c r="A234" s="8" t="s">
        <v>120</v>
      </c>
      <c r="B234" s="8" t="n">
        <v>8904223819468</v>
      </c>
      <c r="C234" s="8" t="s">
        <v>43</v>
      </c>
      <c r="D234" s="8" t="n">
        <f aca="false">C234*IFERROR(INDEX('SKU Master'!$B:$B,MATCH(B234,'SKU Master'!$A:$A,0)),0)</f>
        <v>240</v>
      </c>
    </row>
    <row r="235" customFormat="false" ht="15" hidden="false" customHeight="true" outlineLevel="0" collapsed="false">
      <c r="A235" s="8" t="s">
        <v>121</v>
      </c>
      <c r="B235" s="8" t="n">
        <v>8904223815859</v>
      </c>
      <c r="C235" s="8" t="s">
        <v>43</v>
      </c>
      <c r="D235" s="8" t="n">
        <f aca="false">C235*IFERROR(INDEX('SKU Master'!$B:$B,MATCH(B235,'SKU Master'!$A:$A,0)),0)</f>
        <v>165</v>
      </c>
    </row>
    <row r="236" customFormat="false" ht="15" hidden="false" customHeight="true" outlineLevel="0" collapsed="false">
      <c r="A236" s="8" t="s">
        <v>121</v>
      </c>
      <c r="B236" s="8" t="n">
        <v>8904223817273</v>
      </c>
      <c r="C236" s="8" t="s">
        <v>43</v>
      </c>
      <c r="D236" s="8" t="n">
        <f aca="false">C236*IFERROR(INDEX('SKU Master'!$B:$B,MATCH(B236,'SKU Master'!$A:$A,0)),0)</f>
        <v>65</v>
      </c>
    </row>
    <row r="237" customFormat="false" ht="15" hidden="false" customHeight="true" outlineLevel="0" collapsed="false">
      <c r="A237" s="8" t="s">
        <v>121</v>
      </c>
      <c r="B237" s="8" t="n">
        <v>8904223818751</v>
      </c>
      <c r="C237" s="8" t="s">
        <v>43</v>
      </c>
      <c r="D237" s="8" t="n">
        <f aca="false">C237*IFERROR(INDEX('SKU Master'!$B:$B,MATCH(B237,'SKU Master'!$A:$A,0)),0)</f>
        <v>113</v>
      </c>
    </row>
    <row r="238" customFormat="false" ht="15" hidden="false" customHeight="true" outlineLevel="0" collapsed="false">
      <c r="A238" s="8" t="s">
        <v>122</v>
      </c>
      <c r="B238" s="8" t="n">
        <v>8904223819291</v>
      </c>
      <c r="C238" s="8" t="s">
        <v>45</v>
      </c>
      <c r="D238" s="8" t="n">
        <f aca="false">C238*IFERROR(INDEX('SKU Master'!$B:$B,MATCH(B238,'SKU Master'!$A:$A,0)),0)</f>
        <v>224</v>
      </c>
    </row>
    <row r="239" customFormat="false" ht="15" hidden="false" customHeight="true" outlineLevel="0" collapsed="false">
      <c r="A239" s="8" t="s">
        <v>122</v>
      </c>
      <c r="B239" s="8" t="n">
        <v>8904223819031</v>
      </c>
      <c r="C239" s="8" t="s">
        <v>45</v>
      </c>
      <c r="D239" s="8" t="n">
        <f aca="false">C239*IFERROR(INDEX('SKU Master'!$B:$B,MATCH(B239,'SKU Master'!$A:$A,0)),0)</f>
        <v>224</v>
      </c>
    </row>
    <row r="240" customFormat="false" ht="15" hidden="false" customHeight="true" outlineLevel="0" collapsed="false">
      <c r="A240" s="8" t="s">
        <v>122</v>
      </c>
      <c r="B240" s="8" t="n">
        <v>8904223819024</v>
      </c>
      <c r="C240" s="8" t="s">
        <v>45</v>
      </c>
      <c r="D240" s="8" t="n">
        <f aca="false">C240*IFERROR(INDEX('SKU Master'!$B:$B,MATCH(B240,'SKU Master'!$A:$A,0)),0)</f>
        <v>224</v>
      </c>
    </row>
    <row r="241" customFormat="false" ht="15" hidden="false" customHeight="true" outlineLevel="0" collapsed="false">
      <c r="A241" s="8" t="s">
        <v>122</v>
      </c>
      <c r="B241" s="8" t="n">
        <v>8904223819161</v>
      </c>
      <c r="C241" s="8" t="s">
        <v>43</v>
      </c>
      <c r="D241" s="8" t="n">
        <f aca="false">C241*IFERROR(INDEX('SKU Master'!$B:$B,MATCH(B241,'SKU Master'!$A:$A,0)),0)</f>
        <v>115</v>
      </c>
    </row>
    <row r="242" customFormat="false" ht="15" hidden="false" customHeight="true" outlineLevel="0" collapsed="false">
      <c r="A242" s="8" t="s">
        <v>122</v>
      </c>
      <c r="B242" s="8" t="n">
        <v>8904223819260</v>
      </c>
      <c r="C242" s="8" t="s">
        <v>43</v>
      </c>
      <c r="D242" s="8" t="n">
        <f aca="false">C242*IFERROR(INDEX('SKU Master'!$B:$B,MATCH(B242,'SKU Master'!$A:$A,0)),0)</f>
        <v>130</v>
      </c>
    </row>
    <row r="243" customFormat="false" ht="15" hidden="false" customHeight="true" outlineLevel="0" collapsed="false">
      <c r="A243" s="8" t="s">
        <v>122</v>
      </c>
      <c r="B243" s="8" t="n">
        <v>8904223819468</v>
      </c>
      <c r="C243" s="8" t="s">
        <v>43</v>
      </c>
      <c r="D243" s="8" t="n">
        <f aca="false">C243*IFERROR(INDEX('SKU Master'!$B:$B,MATCH(B243,'SKU Master'!$A:$A,0)),0)</f>
        <v>240</v>
      </c>
    </row>
    <row r="244" customFormat="false" ht="15" hidden="false" customHeight="true" outlineLevel="0" collapsed="false">
      <c r="A244" s="8" t="s">
        <v>123</v>
      </c>
      <c r="B244" s="8" t="n">
        <v>8904223818706</v>
      </c>
      <c r="C244" s="8" t="s">
        <v>43</v>
      </c>
      <c r="D244" s="8" t="n">
        <f aca="false">C244*IFERROR(INDEX('SKU Master'!$B:$B,MATCH(B244,'SKU Master'!$A:$A,0)),0)</f>
        <v>127</v>
      </c>
    </row>
    <row r="245" customFormat="false" ht="15" hidden="false" customHeight="true" outlineLevel="0" collapsed="false">
      <c r="A245" s="8" t="s">
        <v>123</v>
      </c>
      <c r="B245" s="8" t="n">
        <v>8904223818942</v>
      </c>
      <c r="C245" s="8" t="s">
        <v>43</v>
      </c>
      <c r="D245" s="8" t="n">
        <f aca="false">C245*IFERROR(INDEX('SKU Master'!$B:$B,MATCH(B245,'SKU Master'!$A:$A,0)),0)</f>
        <v>133</v>
      </c>
    </row>
    <row r="246" customFormat="false" ht="15" hidden="false" customHeight="true" outlineLevel="0" collapsed="false">
      <c r="A246" s="8" t="s">
        <v>123</v>
      </c>
      <c r="B246" s="8" t="n">
        <v>8904223818850</v>
      </c>
      <c r="C246" s="8" t="s">
        <v>43</v>
      </c>
      <c r="D246" s="8" t="n">
        <f aca="false">C246*IFERROR(INDEX('SKU Master'!$B:$B,MATCH(B246,'SKU Master'!$A:$A,0)),0)</f>
        <v>240</v>
      </c>
    </row>
    <row r="247" customFormat="false" ht="15" hidden="false" customHeight="true" outlineLevel="0" collapsed="false">
      <c r="A247" s="8" t="s">
        <v>124</v>
      </c>
      <c r="B247" s="8" t="n">
        <v>8904223819468</v>
      </c>
      <c r="C247" s="8" t="s">
        <v>43</v>
      </c>
      <c r="D247" s="8" t="n">
        <f aca="false">C247*IFERROR(INDEX('SKU Master'!$B:$B,MATCH(B247,'SKU Master'!$A:$A,0)),0)</f>
        <v>240</v>
      </c>
    </row>
    <row r="248" customFormat="false" ht="15" hidden="false" customHeight="true" outlineLevel="0" collapsed="false">
      <c r="A248" s="8" t="s">
        <v>124</v>
      </c>
      <c r="B248" s="8" t="n">
        <v>8904223818669</v>
      </c>
      <c r="C248" s="8" t="s">
        <v>43</v>
      </c>
      <c r="D248" s="8" t="n">
        <f aca="false">C248*IFERROR(INDEX('SKU Master'!$B:$B,MATCH(B248,'SKU Master'!$A:$A,0)),0)</f>
        <v>240</v>
      </c>
    </row>
    <row r="249" customFormat="false" ht="15" hidden="false" customHeight="true" outlineLevel="0" collapsed="false">
      <c r="A249" s="8" t="s">
        <v>124</v>
      </c>
      <c r="B249" s="8" t="n">
        <v>8904223818683</v>
      </c>
      <c r="C249" s="8" t="s">
        <v>43</v>
      </c>
      <c r="D249" s="8" t="n">
        <f aca="false">C249*IFERROR(INDEX('SKU Master'!$B:$B,MATCH(B249,'SKU Master'!$A:$A,0)),0)</f>
        <v>121</v>
      </c>
    </row>
    <row r="250" customFormat="false" ht="15" hidden="false" customHeight="true" outlineLevel="0" collapsed="false">
      <c r="A250" s="8" t="s">
        <v>124</v>
      </c>
      <c r="B250" s="8" t="n">
        <v>8904223818713</v>
      </c>
      <c r="C250" s="8" t="s">
        <v>43</v>
      </c>
      <c r="D250" s="8" t="n">
        <f aca="false">C250*IFERROR(INDEX('SKU Master'!$B:$B,MATCH(B250,'SKU Master'!$A:$A,0)),0)</f>
        <v>120</v>
      </c>
    </row>
    <row r="251" customFormat="false" ht="15" hidden="false" customHeight="true" outlineLevel="0" collapsed="false">
      <c r="A251" s="8" t="s">
        <v>125</v>
      </c>
      <c r="B251" s="8" t="n">
        <v>8904223819321</v>
      </c>
      <c r="C251" s="8" t="s">
        <v>43</v>
      </c>
      <c r="D251" s="8" t="n">
        <f aca="false">C251*IFERROR(INDEX('SKU Master'!$B:$B,MATCH(B251,'SKU Master'!$A:$A,0)),0)</f>
        <v>600</v>
      </c>
    </row>
    <row r="252" customFormat="false" ht="15" hidden="false" customHeight="true" outlineLevel="0" collapsed="false">
      <c r="A252" s="8" t="s">
        <v>125</v>
      </c>
      <c r="B252" s="8" t="n">
        <v>8904223818430</v>
      </c>
      <c r="C252" s="8" t="s">
        <v>43</v>
      </c>
      <c r="D252" s="8" t="n">
        <f aca="false">C252*IFERROR(INDEX('SKU Master'!$B:$B,MATCH(B252,'SKU Master'!$A:$A,0)),0)</f>
        <v>165</v>
      </c>
    </row>
    <row r="253" customFormat="false" ht="15" hidden="false" customHeight="true" outlineLevel="0" collapsed="false">
      <c r="A253" s="8" t="s">
        <v>126</v>
      </c>
      <c r="B253" s="8" t="n">
        <v>8904223818669</v>
      </c>
      <c r="C253" s="8" t="s">
        <v>43</v>
      </c>
      <c r="D253" s="8" t="n">
        <f aca="false">C253*IFERROR(INDEX('SKU Master'!$B:$B,MATCH(B253,'SKU Master'!$A:$A,0)),0)</f>
        <v>240</v>
      </c>
    </row>
    <row r="254" customFormat="false" ht="15" hidden="false" customHeight="true" outlineLevel="0" collapsed="false">
      <c r="A254" s="8" t="s">
        <v>126</v>
      </c>
      <c r="B254" s="8" t="n">
        <v>8904223819147</v>
      </c>
      <c r="C254" s="8" t="s">
        <v>43</v>
      </c>
      <c r="D254" s="8" t="n">
        <f aca="false">C254*IFERROR(INDEX('SKU Master'!$B:$B,MATCH(B254,'SKU Master'!$A:$A,0)),0)</f>
        <v>240</v>
      </c>
    </row>
    <row r="255" customFormat="false" ht="15" hidden="false" customHeight="true" outlineLevel="0" collapsed="false">
      <c r="A255" s="8" t="s">
        <v>126</v>
      </c>
      <c r="B255" s="8" t="n">
        <v>8904223818850</v>
      </c>
      <c r="C255" s="8" t="s">
        <v>43</v>
      </c>
      <c r="D255" s="8" t="n">
        <f aca="false">C255*IFERROR(INDEX('SKU Master'!$B:$B,MATCH(B255,'SKU Master'!$A:$A,0)),0)</f>
        <v>240</v>
      </c>
    </row>
    <row r="256" customFormat="false" ht="15" hidden="false" customHeight="true" outlineLevel="0" collapsed="false">
      <c r="A256" s="8" t="s">
        <v>126</v>
      </c>
      <c r="B256" s="8" t="n">
        <v>8904223819505</v>
      </c>
      <c r="C256" s="8" t="s">
        <v>43</v>
      </c>
      <c r="D256" s="8" t="n">
        <f aca="false">C256*IFERROR(INDEX('SKU Master'!$B:$B,MATCH(B256,'SKU Master'!$A:$A,0)),0)</f>
        <v>210</v>
      </c>
    </row>
    <row r="257" customFormat="false" ht="15" hidden="false" customHeight="true" outlineLevel="0" collapsed="false">
      <c r="A257" s="8" t="s">
        <v>127</v>
      </c>
      <c r="B257" s="8" t="n">
        <v>8904223818706</v>
      </c>
      <c r="C257" s="8" t="s">
        <v>43</v>
      </c>
      <c r="D257" s="8" t="n">
        <f aca="false">C257*IFERROR(INDEX('SKU Master'!$B:$B,MATCH(B257,'SKU Master'!$A:$A,0)),0)</f>
        <v>127</v>
      </c>
    </row>
    <row r="258" customFormat="false" ht="15" hidden="false" customHeight="true" outlineLevel="0" collapsed="false">
      <c r="A258" s="8" t="s">
        <v>127</v>
      </c>
      <c r="B258" s="8" t="n">
        <v>8904223818942</v>
      </c>
      <c r="C258" s="8" t="s">
        <v>43</v>
      </c>
      <c r="D258" s="8" t="n">
        <f aca="false">C258*IFERROR(INDEX('SKU Master'!$B:$B,MATCH(B258,'SKU Master'!$A:$A,0)),0)</f>
        <v>133</v>
      </c>
    </row>
    <row r="259" customFormat="false" ht="15" hidden="false" customHeight="true" outlineLevel="0" collapsed="false">
      <c r="A259" s="8" t="s">
        <v>127</v>
      </c>
      <c r="B259" s="8" t="n">
        <v>8904223818850</v>
      </c>
      <c r="C259" s="8" t="s">
        <v>43</v>
      </c>
      <c r="D259" s="8" t="n">
        <f aca="false">C259*IFERROR(INDEX('SKU Master'!$B:$B,MATCH(B259,'SKU Master'!$A:$A,0)),0)</f>
        <v>240</v>
      </c>
    </row>
    <row r="260" customFormat="false" ht="15" hidden="false" customHeight="true" outlineLevel="0" collapsed="false">
      <c r="A260" s="8" t="s">
        <v>127</v>
      </c>
      <c r="B260" s="8" t="n">
        <v>8904223819246</v>
      </c>
      <c r="C260" s="8" t="s">
        <v>45</v>
      </c>
      <c r="D260" s="8" t="n">
        <f aca="false">C260*IFERROR(INDEX('SKU Master'!$B:$B,MATCH(B260,'SKU Master'!$A:$A,0)),0)</f>
        <v>580</v>
      </c>
    </row>
    <row r="261" customFormat="false" ht="15" hidden="false" customHeight="true" outlineLevel="0" collapsed="false">
      <c r="A261" s="8" t="s">
        <v>128</v>
      </c>
      <c r="B261" s="8" t="n">
        <v>8904223818706</v>
      </c>
      <c r="C261" s="8" t="s">
        <v>43</v>
      </c>
      <c r="D261" s="8" t="n">
        <f aca="false">C261*IFERROR(INDEX('SKU Master'!$B:$B,MATCH(B261,'SKU Master'!$A:$A,0)),0)</f>
        <v>127</v>
      </c>
    </row>
    <row r="262" customFormat="false" ht="15" hidden="false" customHeight="true" outlineLevel="0" collapsed="false">
      <c r="A262" s="8" t="s">
        <v>128</v>
      </c>
      <c r="B262" s="8" t="n">
        <v>8904223818850</v>
      </c>
      <c r="C262" s="8" t="s">
        <v>43</v>
      </c>
      <c r="D262" s="8" t="n">
        <f aca="false">C262*IFERROR(INDEX('SKU Master'!$B:$B,MATCH(B262,'SKU Master'!$A:$A,0)),0)</f>
        <v>240</v>
      </c>
    </row>
    <row r="263" customFormat="false" ht="15" hidden="false" customHeight="true" outlineLevel="0" collapsed="false">
      <c r="A263" s="8" t="s">
        <v>128</v>
      </c>
      <c r="B263" s="8" t="n">
        <v>8904223819468</v>
      </c>
      <c r="C263" s="8" t="s">
        <v>43</v>
      </c>
      <c r="D263" s="8" t="n">
        <f aca="false">C263*IFERROR(INDEX('SKU Master'!$B:$B,MATCH(B263,'SKU Master'!$A:$A,0)),0)</f>
        <v>240</v>
      </c>
    </row>
    <row r="264" customFormat="false" ht="15" hidden="false" customHeight="true" outlineLevel="0" collapsed="false">
      <c r="A264" s="8" t="s">
        <v>129</v>
      </c>
      <c r="B264" s="8" t="n">
        <v>8904223819468</v>
      </c>
      <c r="C264" s="8" t="s">
        <v>43</v>
      </c>
      <c r="D264" s="8" t="n">
        <f aca="false">C264*IFERROR(INDEX('SKU Master'!$B:$B,MATCH(B264,'SKU Master'!$A:$A,0)),0)</f>
        <v>240</v>
      </c>
    </row>
    <row r="265" customFormat="false" ht="15" hidden="false" customHeight="true" outlineLevel="0" collapsed="false">
      <c r="A265" s="8" t="s">
        <v>130</v>
      </c>
      <c r="B265" s="8" t="n">
        <v>8904223818706</v>
      </c>
      <c r="C265" s="8" t="s">
        <v>43</v>
      </c>
      <c r="D265" s="8" t="n">
        <f aca="false">C265*IFERROR(INDEX('SKU Master'!$B:$B,MATCH(B265,'SKU Master'!$A:$A,0)),0)</f>
        <v>127</v>
      </c>
    </row>
    <row r="266" customFormat="false" ht="15" hidden="false" customHeight="true" outlineLevel="0" collapsed="false">
      <c r="A266" s="8" t="s">
        <v>130</v>
      </c>
      <c r="B266" s="8" t="n">
        <v>8904223818942</v>
      </c>
      <c r="C266" s="8" t="s">
        <v>43</v>
      </c>
      <c r="D266" s="8" t="n">
        <f aca="false">C266*IFERROR(INDEX('SKU Master'!$B:$B,MATCH(B266,'SKU Master'!$A:$A,0)),0)</f>
        <v>133</v>
      </c>
    </row>
    <row r="267" customFormat="false" ht="15" hidden="false" customHeight="true" outlineLevel="0" collapsed="false">
      <c r="A267" s="8" t="s">
        <v>130</v>
      </c>
      <c r="B267" s="8" t="n">
        <v>8904223818850</v>
      </c>
      <c r="C267" s="8" t="s">
        <v>43</v>
      </c>
      <c r="D267" s="8" t="n">
        <f aca="false">C267*IFERROR(INDEX('SKU Master'!$B:$B,MATCH(B267,'SKU Master'!$A:$A,0)),0)</f>
        <v>240</v>
      </c>
    </row>
    <row r="268" customFormat="false" ht="15" hidden="false" customHeight="true" outlineLevel="0" collapsed="false">
      <c r="A268" s="8" t="s">
        <v>131</v>
      </c>
      <c r="B268" s="8" t="n">
        <v>8904223818706</v>
      </c>
      <c r="C268" s="8" t="s">
        <v>43</v>
      </c>
      <c r="D268" s="8" t="n">
        <f aca="false">C268*IFERROR(INDEX('SKU Master'!$B:$B,MATCH(B268,'SKU Master'!$A:$A,0)),0)</f>
        <v>127</v>
      </c>
    </row>
    <row r="269" customFormat="false" ht="15" hidden="false" customHeight="true" outlineLevel="0" collapsed="false">
      <c r="A269" s="8" t="s">
        <v>131</v>
      </c>
      <c r="B269" s="8" t="n">
        <v>8904223818850</v>
      </c>
      <c r="C269" s="8" t="s">
        <v>43</v>
      </c>
      <c r="D269" s="8" t="n">
        <f aca="false">C269*IFERROR(INDEX('SKU Master'!$B:$B,MATCH(B269,'SKU Master'!$A:$A,0)),0)</f>
        <v>240</v>
      </c>
    </row>
    <row r="270" customFormat="false" ht="15" hidden="false" customHeight="true" outlineLevel="0" collapsed="false">
      <c r="A270" s="8" t="s">
        <v>131</v>
      </c>
      <c r="B270" s="8" t="n">
        <v>8904223819468</v>
      </c>
      <c r="C270" s="8" t="s">
        <v>43</v>
      </c>
      <c r="D270" s="8" t="n">
        <f aca="false">C270*IFERROR(INDEX('SKU Master'!$B:$B,MATCH(B270,'SKU Master'!$A:$A,0)),0)</f>
        <v>240</v>
      </c>
    </row>
    <row r="271" customFormat="false" ht="15" hidden="false" customHeight="true" outlineLevel="0" collapsed="false">
      <c r="A271" s="8" t="s">
        <v>132</v>
      </c>
      <c r="B271" s="8" t="n">
        <v>8904223818706</v>
      </c>
      <c r="C271" s="8" t="s">
        <v>43</v>
      </c>
      <c r="D271" s="8" t="n">
        <f aca="false">C271*IFERROR(INDEX('SKU Master'!$B:$B,MATCH(B271,'SKU Master'!$A:$A,0)),0)</f>
        <v>127</v>
      </c>
    </row>
    <row r="272" customFormat="false" ht="15" hidden="false" customHeight="true" outlineLevel="0" collapsed="false">
      <c r="A272" s="8" t="s">
        <v>132</v>
      </c>
      <c r="B272" s="8" t="n">
        <v>8904223818942</v>
      </c>
      <c r="C272" s="8" t="s">
        <v>43</v>
      </c>
      <c r="D272" s="8" t="n">
        <f aca="false">C272*IFERROR(INDEX('SKU Master'!$B:$B,MATCH(B272,'SKU Master'!$A:$A,0)),0)</f>
        <v>133</v>
      </c>
    </row>
    <row r="273" customFormat="false" ht="15" hidden="false" customHeight="true" outlineLevel="0" collapsed="false">
      <c r="A273" s="8" t="s">
        <v>132</v>
      </c>
      <c r="B273" s="8" t="n">
        <v>8904223818850</v>
      </c>
      <c r="C273" s="8" t="s">
        <v>43</v>
      </c>
      <c r="D273" s="8" t="n">
        <f aca="false">C273*IFERROR(INDEX('SKU Master'!$B:$B,MATCH(B273,'SKU Master'!$A:$A,0)),0)</f>
        <v>240</v>
      </c>
    </row>
    <row r="274" customFormat="false" ht="15" hidden="false" customHeight="true" outlineLevel="0" collapsed="false">
      <c r="A274" s="8" t="s">
        <v>133</v>
      </c>
      <c r="B274" s="8" t="n">
        <v>8904223819147</v>
      </c>
      <c r="C274" s="8" t="s">
        <v>43</v>
      </c>
      <c r="D274" s="8" t="n">
        <f aca="false">C274*IFERROR(INDEX('SKU Master'!$B:$B,MATCH(B274,'SKU Master'!$A:$A,0)),0)</f>
        <v>240</v>
      </c>
    </row>
    <row r="275" customFormat="false" ht="15" hidden="false" customHeight="true" outlineLevel="0" collapsed="false">
      <c r="A275" s="8" t="s">
        <v>133</v>
      </c>
      <c r="B275" s="8" t="n">
        <v>8904223819468</v>
      </c>
      <c r="C275" s="8" t="s">
        <v>43</v>
      </c>
      <c r="D275" s="8" t="n">
        <f aca="false">C275*IFERROR(INDEX('SKU Master'!$B:$B,MATCH(B275,'SKU Master'!$A:$A,0)),0)</f>
        <v>240</v>
      </c>
    </row>
    <row r="276" customFormat="false" ht="15" hidden="false" customHeight="true" outlineLevel="0" collapsed="false">
      <c r="A276" s="8" t="s">
        <v>133</v>
      </c>
      <c r="B276" s="8" t="n">
        <v>8904223819277</v>
      </c>
      <c r="C276" s="8" t="s">
        <v>43</v>
      </c>
      <c r="D276" s="8" t="n">
        <f aca="false">C276*IFERROR(INDEX('SKU Master'!$B:$B,MATCH(B276,'SKU Master'!$A:$A,0)),0)</f>
        <v>350</v>
      </c>
    </row>
    <row r="277" customFormat="false" ht="15" hidden="false" customHeight="true" outlineLevel="0" collapsed="false">
      <c r="A277" s="8" t="s">
        <v>134</v>
      </c>
      <c r="B277" s="8" t="n">
        <v>8904223818850</v>
      </c>
      <c r="C277" s="8" t="s">
        <v>45</v>
      </c>
      <c r="D277" s="8" t="n">
        <f aca="false">C277*IFERROR(INDEX('SKU Master'!$B:$B,MATCH(B277,'SKU Master'!$A:$A,0)),0)</f>
        <v>480</v>
      </c>
    </row>
    <row r="278" customFormat="false" ht="15" hidden="false" customHeight="true" outlineLevel="0" collapsed="false">
      <c r="A278" s="8" t="s">
        <v>134</v>
      </c>
      <c r="B278" s="8" t="n">
        <v>8904223818713</v>
      </c>
      <c r="C278" s="8" t="s">
        <v>43</v>
      </c>
      <c r="D278" s="8" t="n">
        <f aca="false">C278*IFERROR(INDEX('SKU Master'!$B:$B,MATCH(B278,'SKU Master'!$A:$A,0)),0)</f>
        <v>120</v>
      </c>
    </row>
    <row r="279" customFormat="false" ht="15" hidden="false" customHeight="true" outlineLevel="0" collapsed="false">
      <c r="A279" s="8" t="s">
        <v>134</v>
      </c>
      <c r="B279" s="8" t="n">
        <v>8904223819024</v>
      </c>
      <c r="C279" s="8" t="s">
        <v>48</v>
      </c>
      <c r="D279" s="8" t="n">
        <f aca="false">C279*IFERROR(INDEX('SKU Master'!$B:$B,MATCH(B279,'SKU Master'!$A:$A,0)),0)</f>
        <v>448</v>
      </c>
    </row>
    <row r="280" customFormat="false" ht="15" hidden="false" customHeight="true" outlineLevel="0" collapsed="false">
      <c r="A280" s="8" t="s">
        <v>135</v>
      </c>
      <c r="B280" s="8" t="n">
        <v>8904223819031</v>
      </c>
      <c r="C280" s="8" t="s">
        <v>136</v>
      </c>
      <c r="D280" s="8" t="n">
        <f aca="false">C280*IFERROR(INDEX('SKU Master'!$B:$B,MATCH(B280,'SKU Master'!$A:$A,0)),0)</f>
        <v>672</v>
      </c>
    </row>
    <row r="281" customFormat="false" ht="15" hidden="false" customHeight="true" outlineLevel="0" collapsed="false">
      <c r="A281" s="8" t="s">
        <v>135</v>
      </c>
      <c r="B281" s="8" t="n">
        <v>8904223819024</v>
      </c>
      <c r="C281" s="8" t="s">
        <v>136</v>
      </c>
      <c r="D281" s="8" t="n">
        <f aca="false">C281*IFERROR(INDEX('SKU Master'!$B:$B,MATCH(B281,'SKU Master'!$A:$A,0)),0)</f>
        <v>672</v>
      </c>
    </row>
    <row r="282" customFormat="false" ht="15" hidden="false" customHeight="true" outlineLevel="0" collapsed="false">
      <c r="A282" s="8" t="s">
        <v>135</v>
      </c>
      <c r="B282" s="8" t="n">
        <v>8904223819291</v>
      </c>
      <c r="C282" s="8" t="s">
        <v>45</v>
      </c>
      <c r="D282" s="8" t="n">
        <f aca="false">C282*IFERROR(INDEX('SKU Master'!$B:$B,MATCH(B282,'SKU Master'!$A:$A,0)),0)</f>
        <v>224</v>
      </c>
    </row>
    <row r="283" customFormat="false" ht="15" hidden="false" customHeight="true" outlineLevel="0" collapsed="false">
      <c r="A283" s="8" t="s">
        <v>135</v>
      </c>
      <c r="B283" s="8" t="n">
        <v>8904223819031</v>
      </c>
      <c r="C283" s="8" t="s">
        <v>45</v>
      </c>
      <c r="D283" s="8" t="n">
        <f aca="false">C283*IFERROR(INDEX('SKU Master'!$B:$B,MATCH(B283,'SKU Master'!$A:$A,0)),0)</f>
        <v>224</v>
      </c>
    </row>
    <row r="284" customFormat="false" ht="15" hidden="false" customHeight="true" outlineLevel="0" collapsed="false">
      <c r="A284" s="8" t="s">
        <v>135</v>
      </c>
      <c r="B284" s="8" t="n">
        <v>8904223819024</v>
      </c>
      <c r="C284" s="8" t="s">
        <v>45</v>
      </c>
      <c r="D284" s="8" t="n">
        <f aca="false">C284*IFERROR(INDEX('SKU Master'!$B:$B,MATCH(B284,'SKU Master'!$A:$A,0)),0)</f>
        <v>224</v>
      </c>
    </row>
    <row r="285" customFormat="false" ht="15" hidden="false" customHeight="true" outlineLevel="0" collapsed="false">
      <c r="A285" s="8" t="s">
        <v>137</v>
      </c>
      <c r="B285" s="8" t="n">
        <v>8904223818706</v>
      </c>
      <c r="C285" s="8" t="s">
        <v>43</v>
      </c>
      <c r="D285" s="8" t="n">
        <f aca="false">C285*IFERROR(INDEX('SKU Master'!$B:$B,MATCH(B285,'SKU Master'!$A:$A,0)),0)</f>
        <v>127</v>
      </c>
    </row>
    <row r="286" customFormat="false" ht="15" hidden="false" customHeight="true" outlineLevel="0" collapsed="false">
      <c r="A286" s="8" t="s">
        <v>137</v>
      </c>
      <c r="B286" s="8" t="n">
        <v>8904223818942</v>
      </c>
      <c r="C286" s="8" t="s">
        <v>43</v>
      </c>
      <c r="D286" s="8" t="n">
        <f aca="false">C286*IFERROR(INDEX('SKU Master'!$B:$B,MATCH(B286,'SKU Master'!$A:$A,0)),0)</f>
        <v>133</v>
      </c>
    </row>
    <row r="287" customFormat="false" ht="15" hidden="false" customHeight="true" outlineLevel="0" collapsed="false">
      <c r="A287" s="8" t="s">
        <v>137</v>
      </c>
      <c r="B287" s="8" t="n">
        <v>8904223818850</v>
      </c>
      <c r="C287" s="8" t="s">
        <v>43</v>
      </c>
      <c r="D287" s="8" t="n">
        <f aca="false">C287*IFERROR(INDEX('SKU Master'!$B:$B,MATCH(B287,'SKU Master'!$A:$A,0)),0)</f>
        <v>240</v>
      </c>
    </row>
    <row r="288" customFormat="false" ht="15" hidden="false" customHeight="true" outlineLevel="0" collapsed="false">
      <c r="A288" s="8" t="s">
        <v>138</v>
      </c>
      <c r="B288" s="8" t="n">
        <v>8904223818997</v>
      </c>
      <c r="C288" s="8" t="s">
        <v>43</v>
      </c>
      <c r="D288" s="8" t="n">
        <f aca="false">C288*IFERROR(INDEX('SKU Master'!$B:$B,MATCH(B288,'SKU Master'!$A:$A,0)),0)</f>
        <v>490</v>
      </c>
    </row>
    <row r="289" customFormat="false" ht="15" hidden="false" customHeight="true" outlineLevel="0" collapsed="false">
      <c r="A289" s="8" t="s">
        <v>139</v>
      </c>
      <c r="B289" s="8" t="n">
        <v>8904223818706</v>
      </c>
      <c r="C289" s="8" t="s">
        <v>43</v>
      </c>
      <c r="D289" s="8" t="n">
        <f aca="false">C289*IFERROR(INDEX('SKU Master'!$B:$B,MATCH(B289,'SKU Master'!$A:$A,0)),0)</f>
        <v>127</v>
      </c>
    </row>
    <row r="290" customFormat="false" ht="15" hidden="false" customHeight="true" outlineLevel="0" collapsed="false">
      <c r="A290" s="8" t="s">
        <v>139</v>
      </c>
      <c r="B290" s="8" t="n">
        <v>8904223818942</v>
      </c>
      <c r="C290" s="8" t="s">
        <v>43</v>
      </c>
      <c r="D290" s="8" t="n">
        <f aca="false">C290*IFERROR(INDEX('SKU Master'!$B:$B,MATCH(B290,'SKU Master'!$A:$A,0)),0)</f>
        <v>133</v>
      </c>
    </row>
    <row r="291" customFormat="false" ht="15" hidden="false" customHeight="true" outlineLevel="0" collapsed="false">
      <c r="A291" s="8" t="s">
        <v>139</v>
      </c>
      <c r="B291" s="8" t="n">
        <v>8904223818850</v>
      </c>
      <c r="C291" s="8" t="s">
        <v>43</v>
      </c>
      <c r="D291" s="8" t="n">
        <f aca="false">C291*IFERROR(INDEX('SKU Master'!$B:$B,MATCH(B291,'SKU Master'!$A:$A,0)),0)</f>
        <v>240</v>
      </c>
    </row>
    <row r="292" customFormat="false" ht="15" hidden="false" customHeight="true" outlineLevel="0" collapsed="false">
      <c r="A292" s="8" t="s">
        <v>140</v>
      </c>
      <c r="B292" s="8" t="n">
        <v>8904223818706</v>
      </c>
      <c r="C292" s="8" t="s">
        <v>43</v>
      </c>
      <c r="D292" s="8" t="n">
        <f aca="false">C292*IFERROR(INDEX('SKU Master'!$B:$B,MATCH(B292,'SKU Master'!$A:$A,0)),0)</f>
        <v>127</v>
      </c>
    </row>
    <row r="293" customFormat="false" ht="15" hidden="false" customHeight="true" outlineLevel="0" collapsed="false">
      <c r="A293" s="8" t="s">
        <v>140</v>
      </c>
      <c r="B293" s="8" t="n">
        <v>8904223818850</v>
      </c>
      <c r="C293" s="8" t="s">
        <v>43</v>
      </c>
      <c r="D293" s="8" t="n">
        <f aca="false">C293*IFERROR(INDEX('SKU Master'!$B:$B,MATCH(B293,'SKU Master'!$A:$A,0)),0)</f>
        <v>240</v>
      </c>
    </row>
    <row r="294" customFormat="false" ht="15" hidden="false" customHeight="true" outlineLevel="0" collapsed="false">
      <c r="A294" s="8" t="s">
        <v>140</v>
      </c>
      <c r="B294" s="8" t="n">
        <v>8904223819468</v>
      </c>
      <c r="C294" s="8" t="s">
        <v>43</v>
      </c>
      <c r="D294" s="8" t="n">
        <f aca="false">C294*IFERROR(INDEX('SKU Master'!$B:$B,MATCH(B294,'SKU Master'!$A:$A,0)),0)</f>
        <v>240</v>
      </c>
    </row>
    <row r="295" customFormat="false" ht="15" hidden="false" customHeight="true" outlineLevel="0" collapsed="false">
      <c r="A295" s="8" t="s">
        <v>141</v>
      </c>
      <c r="B295" s="8" t="n">
        <v>8904223818706</v>
      </c>
      <c r="C295" s="8" t="s">
        <v>43</v>
      </c>
      <c r="D295" s="8" t="n">
        <f aca="false">C295*IFERROR(INDEX('SKU Master'!$B:$B,MATCH(B295,'SKU Master'!$A:$A,0)),0)</f>
        <v>127</v>
      </c>
    </row>
    <row r="296" customFormat="false" ht="15" hidden="false" customHeight="true" outlineLevel="0" collapsed="false">
      <c r="A296" s="8" t="s">
        <v>141</v>
      </c>
      <c r="B296" s="8" t="n">
        <v>8904223818942</v>
      </c>
      <c r="C296" s="8" t="s">
        <v>43</v>
      </c>
      <c r="D296" s="8" t="n">
        <f aca="false">C296*IFERROR(INDEX('SKU Master'!$B:$B,MATCH(B296,'SKU Master'!$A:$A,0)),0)</f>
        <v>133</v>
      </c>
    </row>
    <row r="297" customFormat="false" ht="15" hidden="false" customHeight="true" outlineLevel="0" collapsed="false">
      <c r="A297" s="8" t="s">
        <v>141</v>
      </c>
      <c r="B297" s="8" t="n">
        <v>8904223818850</v>
      </c>
      <c r="C297" s="8" t="s">
        <v>43</v>
      </c>
      <c r="D297" s="8" t="n">
        <f aca="false">C297*IFERROR(INDEX('SKU Master'!$B:$B,MATCH(B297,'SKU Master'!$A:$A,0)),0)</f>
        <v>240</v>
      </c>
    </row>
    <row r="298" customFormat="false" ht="15" hidden="false" customHeight="true" outlineLevel="0" collapsed="false">
      <c r="A298" s="8" t="s">
        <v>142</v>
      </c>
      <c r="B298" s="8" t="n">
        <v>8904223818706</v>
      </c>
      <c r="C298" s="8" t="s">
        <v>43</v>
      </c>
      <c r="D298" s="8" t="n">
        <f aca="false">C298*IFERROR(INDEX('SKU Master'!$B:$B,MATCH(B298,'SKU Master'!$A:$A,0)),0)</f>
        <v>127</v>
      </c>
    </row>
    <row r="299" customFormat="false" ht="15" hidden="false" customHeight="true" outlineLevel="0" collapsed="false">
      <c r="A299" s="8" t="s">
        <v>142</v>
      </c>
      <c r="B299" s="8" t="n">
        <v>8904223818942</v>
      </c>
      <c r="C299" s="8" t="s">
        <v>43</v>
      </c>
      <c r="D299" s="8" t="n">
        <f aca="false">C299*IFERROR(INDEX('SKU Master'!$B:$B,MATCH(B299,'SKU Master'!$A:$A,0)),0)</f>
        <v>133</v>
      </c>
    </row>
    <row r="300" customFormat="false" ht="15" hidden="false" customHeight="true" outlineLevel="0" collapsed="false">
      <c r="A300" s="8" t="s">
        <v>142</v>
      </c>
      <c r="B300" s="8" t="n">
        <v>8904223818850</v>
      </c>
      <c r="C300" s="8" t="s">
        <v>43</v>
      </c>
      <c r="D300" s="8" t="n">
        <f aca="false">C300*IFERROR(INDEX('SKU Master'!$B:$B,MATCH(B300,'SKU Master'!$A:$A,0)),0)</f>
        <v>240</v>
      </c>
    </row>
    <row r="301" customFormat="false" ht="15" hidden="false" customHeight="true" outlineLevel="0" collapsed="false">
      <c r="A301" s="8" t="s">
        <v>143</v>
      </c>
      <c r="B301" s="8" t="n">
        <v>8904223819239</v>
      </c>
      <c r="C301" s="8" t="s">
        <v>43</v>
      </c>
      <c r="D301" s="8" t="n">
        <f aca="false">C301*IFERROR(INDEX('SKU Master'!$B:$B,MATCH(B301,'SKU Master'!$A:$A,0)),0)</f>
        <v>290</v>
      </c>
    </row>
    <row r="302" customFormat="false" ht="15" hidden="false" customHeight="true" outlineLevel="0" collapsed="false">
      <c r="A302" s="8" t="s">
        <v>143</v>
      </c>
      <c r="B302" s="8" t="n">
        <v>8904223819246</v>
      </c>
      <c r="C302" s="8" t="s">
        <v>43</v>
      </c>
      <c r="D302" s="8" t="n">
        <f aca="false">C302*IFERROR(INDEX('SKU Master'!$B:$B,MATCH(B302,'SKU Master'!$A:$A,0)),0)</f>
        <v>290</v>
      </c>
    </row>
    <row r="303" customFormat="false" ht="15" hidden="false" customHeight="true" outlineLevel="0" collapsed="false">
      <c r="A303" s="8" t="s">
        <v>143</v>
      </c>
      <c r="B303" s="8" t="n">
        <v>8904223819253</v>
      </c>
      <c r="C303" s="8" t="s">
        <v>43</v>
      </c>
      <c r="D303" s="8" t="n">
        <f aca="false">C303*IFERROR(INDEX('SKU Master'!$B:$B,MATCH(B303,'SKU Master'!$A:$A,0)),0)</f>
        <v>290</v>
      </c>
    </row>
    <row r="304" customFormat="false" ht="15" hidden="false" customHeight="true" outlineLevel="0" collapsed="false">
      <c r="A304" s="8" t="s">
        <v>143</v>
      </c>
      <c r="B304" s="8" t="n">
        <v>8904223818713</v>
      </c>
      <c r="C304" s="8" t="s">
        <v>43</v>
      </c>
      <c r="D304" s="8" t="n">
        <f aca="false">C304*IFERROR(INDEX('SKU Master'!$B:$B,MATCH(B304,'SKU Master'!$A:$A,0)),0)</f>
        <v>120</v>
      </c>
    </row>
    <row r="305" customFormat="false" ht="15" hidden="false" customHeight="true" outlineLevel="0" collapsed="false">
      <c r="A305" s="8" t="s">
        <v>143</v>
      </c>
      <c r="B305" s="8" t="n">
        <v>8904223817273</v>
      </c>
      <c r="C305" s="8" t="s">
        <v>43</v>
      </c>
      <c r="D305" s="8" t="n">
        <f aca="false">C305*IFERROR(INDEX('SKU Master'!$B:$B,MATCH(B305,'SKU Master'!$A:$A,0)),0)</f>
        <v>65</v>
      </c>
    </row>
    <row r="306" customFormat="false" ht="15" hidden="false" customHeight="true" outlineLevel="0" collapsed="false">
      <c r="A306" s="8" t="s">
        <v>143</v>
      </c>
      <c r="B306" s="8" t="n">
        <v>8904223818751</v>
      </c>
      <c r="C306" s="8" t="s">
        <v>43</v>
      </c>
      <c r="D306" s="8" t="n">
        <f aca="false">C306*IFERROR(INDEX('SKU Master'!$B:$B,MATCH(B306,'SKU Master'!$A:$A,0)),0)</f>
        <v>113</v>
      </c>
    </row>
    <row r="307" customFormat="false" ht="15" hidden="false" customHeight="true" outlineLevel="0" collapsed="false">
      <c r="A307" s="8" t="s">
        <v>144</v>
      </c>
      <c r="B307" s="8" t="n">
        <v>8904223819291</v>
      </c>
      <c r="C307" s="8" t="s">
        <v>48</v>
      </c>
      <c r="D307" s="8" t="n">
        <f aca="false">C307*IFERROR(INDEX('SKU Master'!$B:$B,MATCH(B307,'SKU Master'!$A:$A,0)),0)</f>
        <v>448</v>
      </c>
    </row>
    <row r="308" customFormat="false" ht="15" hidden="false" customHeight="true" outlineLevel="0" collapsed="false">
      <c r="A308" s="8" t="s">
        <v>144</v>
      </c>
      <c r="B308" s="8" t="n">
        <v>8904223819031</v>
      </c>
      <c r="C308" s="8" t="s">
        <v>48</v>
      </c>
      <c r="D308" s="8" t="n">
        <f aca="false">C308*IFERROR(INDEX('SKU Master'!$B:$B,MATCH(B308,'SKU Master'!$A:$A,0)),0)</f>
        <v>448</v>
      </c>
    </row>
    <row r="309" customFormat="false" ht="15" hidden="false" customHeight="true" outlineLevel="0" collapsed="false">
      <c r="A309" s="8" t="s">
        <v>144</v>
      </c>
      <c r="B309" s="8" t="n">
        <v>8904223819024</v>
      </c>
      <c r="C309" s="8" t="s">
        <v>48</v>
      </c>
      <c r="D309" s="8" t="n">
        <f aca="false">C309*IFERROR(INDEX('SKU Master'!$B:$B,MATCH(B309,'SKU Master'!$A:$A,0)),0)</f>
        <v>448</v>
      </c>
    </row>
    <row r="310" customFormat="false" ht="15" hidden="false" customHeight="true" outlineLevel="0" collapsed="false">
      <c r="A310" s="8" t="s">
        <v>144</v>
      </c>
      <c r="B310" s="8" t="n">
        <v>8904223819017</v>
      </c>
      <c r="C310" s="8" t="s">
        <v>43</v>
      </c>
      <c r="D310" s="8" t="n">
        <f aca="false">C310*IFERROR(INDEX('SKU Master'!$B:$B,MATCH(B310,'SKU Master'!$A:$A,0)),0)</f>
        <v>115</v>
      </c>
    </row>
    <row r="311" customFormat="false" ht="15" hidden="false" customHeight="true" outlineLevel="0" collapsed="false">
      <c r="A311" s="8" t="s">
        <v>145</v>
      </c>
      <c r="B311" s="8" t="n">
        <v>8904223819468</v>
      </c>
      <c r="C311" s="8" t="s">
        <v>43</v>
      </c>
      <c r="D311" s="8" t="n">
        <f aca="false">C311*IFERROR(INDEX('SKU Master'!$B:$B,MATCH(B311,'SKU Master'!$A:$A,0)),0)</f>
        <v>240</v>
      </c>
    </row>
    <row r="312" customFormat="false" ht="15" hidden="false" customHeight="true" outlineLevel="0" collapsed="false">
      <c r="A312" s="8" t="s">
        <v>146</v>
      </c>
      <c r="B312" s="8" t="n">
        <v>8904223818706</v>
      </c>
      <c r="C312" s="8" t="s">
        <v>43</v>
      </c>
      <c r="D312" s="8" t="n">
        <f aca="false">C312*IFERROR(INDEX('SKU Master'!$B:$B,MATCH(B312,'SKU Master'!$A:$A,0)),0)</f>
        <v>127</v>
      </c>
    </row>
    <row r="313" customFormat="false" ht="15" hidden="false" customHeight="true" outlineLevel="0" collapsed="false">
      <c r="A313" s="8" t="s">
        <v>146</v>
      </c>
      <c r="B313" s="8" t="n">
        <v>8904223818942</v>
      </c>
      <c r="C313" s="8" t="s">
        <v>43</v>
      </c>
      <c r="D313" s="8" t="n">
        <f aca="false">C313*IFERROR(INDEX('SKU Master'!$B:$B,MATCH(B313,'SKU Master'!$A:$A,0)),0)</f>
        <v>133</v>
      </c>
    </row>
    <row r="314" customFormat="false" ht="15" hidden="false" customHeight="true" outlineLevel="0" collapsed="false">
      <c r="A314" s="8" t="s">
        <v>146</v>
      </c>
      <c r="B314" s="8" t="n">
        <v>8904223818850</v>
      </c>
      <c r="C314" s="8" t="s">
        <v>43</v>
      </c>
      <c r="D314" s="8" t="n">
        <f aca="false">C314*IFERROR(INDEX('SKU Master'!$B:$B,MATCH(B314,'SKU Master'!$A:$A,0)),0)</f>
        <v>240</v>
      </c>
    </row>
    <row r="315" customFormat="false" ht="15" hidden="false" customHeight="true" outlineLevel="0" collapsed="false">
      <c r="A315" s="8" t="s">
        <v>147</v>
      </c>
      <c r="B315" s="8" t="n">
        <v>8904223818706</v>
      </c>
      <c r="C315" s="8" t="s">
        <v>43</v>
      </c>
      <c r="D315" s="8" t="n">
        <f aca="false">C315*IFERROR(INDEX('SKU Master'!$B:$B,MATCH(B315,'SKU Master'!$A:$A,0)),0)</f>
        <v>127</v>
      </c>
    </row>
    <row r="316" customFormat="false" ht="15" hidden="false" customHeight="true" outlineLevel="0" collapsed="false">
      <c r="A316" s="8" t="s">
        <v>147</v>
      </c>
      <c r="B316" s="8" t="n">
        <v>8904223818942</v>
      </c>
      <c r="C316" s="8" t="s">
        <v>43</v>
      </c>
      <c r="D316" s="8" t="n">
        <f aca="false">C316*IFERROR(INDEX('SKU Master'!$B:$B,MATCH(B316,'SKU Master'!$A:$A,0)),0)</f>
        <v>133</v>
      </c>
    </row>
    <row r="317" customFormat="false" ht="15" hidden="false" customHeight="true" outlineLevel="0" collapsed="false">
      <c r="A317" s="8" t="s">
        <v>147</v>
      </c>
      <c r="B317" s="8" t="n">
        <v>8904223818850</v>
      </c>
      <c r="C317" s="8" t="s">
        <v>43</v>
      </c>
      <c r="D317" s="8" t="n">
        <f aca="false">C317*IFERROR(INDEX('SKU Master'!$B:$B,MATCH(B317,'SKU Master'!$A:$A,0)),0)</f>
        <v>240</v>
      </c>
    </row>
    <row r="318" customFormat="false" ht="15" hidden="false" customHeight="true" outlineLevel="0" collapsed="false">
      <c r="A318" s="8" t="s">
        <v>148</v>
      </c>
      <c r="B318" s="8" t="n">
        <v>8904223819499</v>
      </c>
      <c r="C318" s="8" t="s">
        <v>45</v>
      </c>
      <c r="D318" s="8" t="n">
        <f aca="false">C318*IFERROR(INDEX('SKU Master'!$B:$B,MATCH(B318,'SKU Master'!$A:$A,0)),0)</f>
        <v>420</v>
      </c>
    </row>
    <row r="319" customFormat="false" ht="15" hidden="false" customHeight="true" outlineLevel="0" collapsed="false">
      <c r="A319" s="8" t="s">
        <v>148</v>
      </c>
      <c r="B319" s="8" t="n">
        <v>8904223819499</v>
      </c>
      <c r="C319" s="8" t="s">
        <v>45</v>
      </c>
      <c r="D319" s="8" t="n">
        <f aca="false">C319*IFERROR(INDEX('SKU Master'!$B:$B,MATCH(B319,'SKU Master'!$A:$A,0)),0)</f>
        <v>420</v>
      </c>
    </row>
    <row r="320" customFormat="false" ht="15" hidden="false" customHeight="true" outlineLevel="0" collapsed="false">
      <c r="A320" s="8" t="s">
        <v>149</v>
      </c>
      <c r="B320" s="8" t="n">
        <v>8904223818706</v>
      </c>
      <c r="C320" s="8" t="s">
        <v>43</v>
      </c>
      <c r="D320" s="8" t="n">
        <f aca="false">C320*IFERROR(INDEX('SKU Master'!$B:$B,MATCH(B320,'SKU Master'!$A:$A,0)),0)</f>
        <v>127</v>
      </c>
    </row>
    <row r="321" customFormat="false" ht="15" hidden="false" customHeight="true" outlineLevel="0" collapsed="false">
      <c r="A321" s="8" t="s">
        <v>149</v>
      </c>
      <c r="B321" s="8" t="n">
        <v>8904223818942</v>
      </c>
      <c r="C321" s="8" t="s">
        <v>43</v>
      </c>
      <c r="D321" s="8" t="n">
        <f aca="false">C321*IFERROR(INDEX('SKU Master'!$B:$B,MATCH(B321,'SKU Master'!$A:$A,0)),0)</f>
        <v>133</v>
      </c>
    </row>
    <row r="322" customFormat="false" ht="15" hidden="false" customHeight="true" outlineLevel="0" collapsed="false">
      <c r="A322" s="8" t="s">
        <v>149</v>
      </c>
      <c r="B322" s="8" t="n">
        <v>8904223818850</v>
      </c>
      <c r="C322" s="8" t="s">
        <v>43</v>
      </c>
      <c r="D322" s="8" t="n">
        <f aca="false">C322*IFERROR(INDEX('SKU Master'!$B:$B,MATCH(B322,'SKU Master'!$A:$A,0)),0)</f>
        <v>240</v>
      </c>
    </row>
    <row r="323" customFormat="false" ht="15" hidden="false" customHeight="true" outlineLevel="0" collapsed="false">
      <c r="A323" s="8" t="s">
        <v>150</v>
      </c>
      <c r="B323" s="8" t="n">
        <v>8904223818706</v>
      </c>
      <c r="C323" s="8" t="s">
        <v>43</v>
      </c>
      <c r="D323" s="8" t="n">
        <f aca="false">C323*IFERROR(INDEX('SKU Master'!$B:$B,MATCH(B323,'SKU Master'!$A:$A,0)),0)</f>
        <v>127</v>
      </c>
    </row>
    <row r="324" customFormat="false" ht="15" hidden="false" customHeight="true" outlineLevel="0" collapsed="false">
      <c r="A324" s="8" t="s">
        <v>151</v>
      </c>
      <c r="B324" s="8" t="n">
        <v>8904223818850</v>
      </c>
      <c r="C324" s="8" t="s">
        <v>43</v>
      </c>
      <c r="D324" s="8" t="n">
        <f aca="false">C324*IFERROR(INDEX('SKU Master'!$B:$B,MATCH(B324,'SKU Master'!$A:$A,0)),0)</f>
        <v>240</v>
      </c>
    </row>
    <row r="325" customFormat="false" ht="15" hidden="false" customHeight="true" outlineLevel="0" collapsed="false">
      <c r="A325" s="8" t="s">
        <v>151</v>
      </c>
      <c r="B325" s="8" t="n">
        <v>8904223818683</v>
      </c>
      <c r="C325" s="8" t="s">
        <v>43</v>
      </c>
      <c r="D325" s="8" t="n">
        <f aca="false">C325*IFERROR(INDEX('SKU Master'!$B:$B,MATCH(B325,'SKU Master'!$A:$A,0)),0)</f>
        <v>121</v>
      </c>
    </row>
    <row r="326" customFormat="false" ht="15" hidden="false" customHeight="true" outlineLevel="0" collapsed="false">
      <c r="A326" s="8" t="s">
        <v>152</v>
      </c>
      <c r="B326" s="8" t="n">
        <v>8904223818706</v>
      </c>
      <c r="C326" s="8" t="s">
        <v>43</v>
      </c>
      <c r="D326" s="8" t="n">
        <f aca="false">C326*IFERROR(INDEX('SKU Master'!$B:$B,MATCH(B326,'SKU Master'!$A:$A,0)),0)</f>
        <v>127</v>
      </c>
    </row>
    <row r="327" customFormat="false" ht="15" hidden="false" customHeight="true" outlineLevel="0" collapsed="false">
      <c r="A327" s="8" t="s">
        <v>152</v>
      </c>
      <c r="B327" s="8" t="n">
        <v>8904223818638</v>
      </c>
      <c r="C327" s="8" t="s">
        <v>45</v>
      </c>
      <c r="D327" s="8" t="n">
        <f aca="false">C327*IFERROR(INDEX('SKU Master'!$B:$B,MATCH(B327,'SKU Master'!$A:$A,0)),0)</f>
        <v>274</v>
      </c>
    </row>
    <row r="328" customFormat="false" ht="15" hidden="false" customHeight="true" outlineLevel="0" collapsed="false">
      <c r="A328" s="8" t="s">
        <v>152</v>
      </c>
      <c r="B328" s="8" t="n">
        <v>8904223819505</v>
      </c>
      <c r="C328" s="8" t="s">
        <v>43</v>
      </c>
      <c r="D328" s="8" t="n">
        <f aca="false">C328*IFERROR(INDEX('SKU Master'!$B:$B,MATCH(B328,'SKU Master'!$A:$A,0)),0)</f>
        <v>210</v>
      </c>
    </row>
    <row r="329" customFormat="false" ht="15" hidden="false" customHeight="true" outlineLevel="0" collapsed="false">
      <c r="A329" s="8" t="s">
        <v>153</v>
      </c>
      <c r="B329" s="8" t="n">
        <v>8904223819512</v>
      </c>
      <c r="C329" s="8" t="s">
        <v>48</v>
      </c>
      <c r="D329" s="8" t="n">
        <f aca="false">C329*IFERROR(INDEX('SKU Master'!$B:$B,MATCH(B329,'SKU Master'!$A:$A,0)),0)</f>
        <v>840</v>
      </c>
    </row>
    <row r="330" customFormat="false" ht="15" hidden="false" customHeight="true" outlineLevel="0" collapsed="false">
      <c r="A330" s="8" t="s">
        <v>154</v>
      </c>
      <c r="B330" s="8" t="n">
        <v>8904223818706</v>
      </c>
      <c r="C330" s="8" t="s">
        <v>43</v>
      </c>
      <c r="D330" s="8" t="n">
        <f aca="false">C330*IFERROR(INDEX('SKU Master'!$B:$B,MATCH(B330,'SKU Master'!$A:$A,0)),0)</f>
        <v>127</v>
      </c>
    </row>
    <row r="331" customFormat="false" ht="15" hidden="false" customHeight="true" outlineLevel="0" collapsed="false">
      <c r="A331" s="8" t="s">
        <v>154</v>
      </c>
      <c r="B331" s="8" t="n">
        <v>8904223818942</v>
      </c>
      <c r="C331" s="8" t="s">
        <v>43</v>
      </c>
      <c r="D331" s="8" t="n">
        <f aca="false">C331*IFERROR(INDEX('SKU Master'!$B:$B,MATCH(B331,'SKU Master'!$A:$A,0)),0)</f>
        <v>133</v>
      </c>
    </row>
    <row r="332" customFormat="false" ht="15" hidden="false" customHeight="true" outlineLevel="0" collapsed="false">
      <c r="A332" s="8" t="s">
        <v>154</v>
      </c>
      <c r="B332" s="8" t="n">
        <v>8904223818850</v>
      </c>
      <c r="C332" s="8" t="s">
        <v>43</v>
      </c>
      <c r="D332" s="8" t="n">
        <f aca="false">C332*IFERROR(INDEX('SKU Master'!$B:$B,MATCH(B332,'SKU Master'!$A:$A,0)),0)</f>
        <v>240</v>
      </c>
    </row>
    <row r="333" customFormat="false" ht="15" hidden="false" customHeight="true" outlineLevel="0" collapsed="false">
      <c r="A333" s="8" t="s">
        <v>155</v>
      </c>
      <c r="B333" s="8" t="n">
        <v>8904223819031</v>
      </c>
      <c r="C333" s="8" t="s">
        <v>43</v>
      </c>
      <c r="D333" s="8" t="n">
        <f aca="false">C333*IFERROR(INDEX('SKU Master'!$B:$B,MATCH(B333,'SKU Master'!$A:$A,0)),0)</f>
        <v>112</v>
      </c>
    </row>
    <row r="334" customFormat="false" ht="15" hidden="false" customHeight="true" outlineLevel="0" collapsed="false">
      <c r="A334" s="8" t="s">
        <v>155</v>
      </c>
      <c r="B334" s="8" t="n">
        <v>8904223818430</v>
      </c>
      <c r="C334" s="8" t="s">
        <v>43</v>
      </c>
      <c r="D334" s="8" t="n">
        <f aca="false">C334*IFERROR(INDEX('SKU Master'!$B:$B,MATCH(B334,'SKU Master'!$A:$A,0)),0)</f>
        <v>165</v>
      </c>
    </row>
    <row r="335" customFormat="false" ht="15" hidden="false" customHeight="true" outlineLevel="0" collapsed="false">
      <c r="A335" s="8" t="s">
        <v>155</v>
      </c>
      <c r="B335" s="8" t="n">
        <v>8904223818850</v>
      </c>
      <c r="C335" s="8" t="s">
        <v>43</v>
      </c>
      <c r="D335" s="8" t="n">
        <f aca="false">C335*IFERROR(INDEX('SKU Master'!$B:$B,MATCH(B335,'SKU Master'!$A:$A,0)),0)</f>
        <v>240</v>
      </c>
    </row>
    <row r="336" customFormat="false" ht="15" hidden="false" customHeight="true" outlineLevel="0" collapsed="false">
      <c r="A336" s="8" t="s">
        <v>155</v>
      </c>
      <c r="B336" s="8" t="n">
        <v>8904223819512</v>
      </c>
      <c r="C336" s="8" t="s">
        <v>43</v>
      </c>
      <c r="D336" s="8" t="n">
        <f aca="false">C336*IFERROR(INDEX('SKU Master'!$B:$B,MATCH(B336,'SKU Master'!$A:$A,0)),0)</f>
        <v>210</v>
      </c>
    </row>
    <row r="337" customFormat="false" ht="15" hidden="false" customHeight="true" outlineLevel="0" collapsed="false">
      <c r="A337" s="8" t="s">
        <v>155</v>
      </c>
      <c r="B337" s="8" t="n">
        <v>8904223819468</v>
      </c>
      <c r="C337" s="8" t="s">
        <v>43</v>
      </c>
      <c r="D337" s="8" t="n">
        <f aca="false">C337*IFERROR(INDEX('SKU Master'!$B:$B,MATCH(B337,'SKU Master'!$A:$A,0)),0)</f>
        <v>240</v>
      </c>
    </row>
    <row r="338" customFormat="false" ht="15" hidden="false" customHeight="true" outlineLevel="0" collapsed="false">
      <c r="A338" s="8" t="s">
        <v>156</v>
      </c>
      <c r="B338" s="8" t="n">
        <v>8904223818706</v>
      </c>
      <c r="C338" s="8" t="s">
        <v>43</v>
      </c>
      <c r="D338" s="8" t="n">
        <f aca="false">C338*IFERROR(INDEX('SKU Master'!$B:$B,MATCH(B338,'SKU Master'!$A:$A,0)),0)</f>
        <v>127</v>
      </c>
    </row>
    <row r="339" customFormat="false" ht="15" hidden="false" customHeight="true" outlineLevel="0" collapsed="false">
      <c r="A339" s="8" t="s">
        <v>156</v>
      </c>
      <c r="B339" s="8" t="n">
        <v>8904223818942</v>
      </c>
      <c r="C339" s="8" t="s">
        <v>43</v>
      </c>
      <c r="D339" s="8" t="n">
        <f aca="false">C339*IFERROR(INDEX('SKU Master'!$B:$B,MATCH(B339,'SKU Master'!$A:$A,0)),0)</f>
        <v>133</v>
      </c>
    </row>
    <row r="340" customFormat="false" ht="15" hidden="false" customHeight="true" outlineLevel="0" collapsed="false">
      <c r="A340" s="8" t="s">
        <v>156</v>
      </c>
      <c r="B340" s="8" t="n">
        <v>8904223818850</v>
      </c>
      <c r="C340" s="8" t="s">
        <v>43</v>
      </c>
      <c r="D340" s="8" t="n">
        <f aca="false">C340*IFERROR(INDEX('SKU Master'!$B:$B,MATCH(B340,'SKU Master'!$A:$A,0)),0)</f>
        <v>240</v>
      </c>
    </row>
    <row r="341" customFormat="false" ht="15" hidden="false" customHeight="true" outlineLevel="0" collapsed="false">
      <c r="A341" s="8" t="s">
        <v>157</v>
      </c>
      <c r="B341" s="8" t="n">
        <v>8904223819468</v>
      </c>
      <c r="C341" s="8" t="s">
        <v>43</v>
      </c>
      <c r="D341" s="8" t="n">
        <f aca="false">C341*IFERROR(INDEX('SKU Master'!$B:$B,MATCH(B341,'SKU Master'!$A:$A,0)),0)</f>
        <v>240</v>
      </c>
    </row>
    <row r="342" customFormat="false" ht="15" hidden="false" customHeight="true" outlineLevel="0" collapsed="false">
      <c r="A342" s="8" t="s">
        <v>158</v>
      </c>
      <c r="B342" s="8" t="n">
        <v>8904223818706</v>
      </c>
      <c r="C342" s="8" t="s">
        <v>43</v>
      </c>
      <c r="D342" s="8" t="n">
        <f aca="false">C342*IFERROR(INDEX('SKU Master'!$B:$B,MATCH(B342,'SKU Master'!$A:$A,0)),0)</f>
        <v>127</v>
      </c>
    </row>
    <row r="343" customFormat="false" ht="15" hidden="false" customHeight="true" outlineLevel="0" collapsed="false">
      <c r="A343" s="8" t="s">
        <v>158</v>
      </c>
      <c r="B343" s="8" t="n">
        <v>8904223818942</v>
      </c>
      <c r="C343" s="8" t="s">
        <v>43</v>
      </c>
      <c r="D343" s="8" t="n">
        <f aca="false">C343*IFERROR(INDEX('SKU Master'!$B:$B,MATCH(B343,'SKU Master'!$A:$A,0)),0)</f>
        <v>133</v>
      </c>
    </row>
    <row r="344" customFormat="false" ht="15" hidden="false" customHeight="true" outlineLevel="0" collapsed="false">
      <c r="A344" s="8" t="s">
        <v>158</v>
      </c>
      <c r="B344" s="8" t="n">
        <v>8904223818850</v>
      </c>
      <c r="C344" s="8" t="s">
        <v>43</v>
      </c>
      <c r="D344" s="8" t="n">
        <f aca="false">C344*IFERROR(INDEX('SKU Master'!$B:$B,MATCH(B344,'SKU Master'!$A:$A,0)),0)</f>
        <v>240</v>
      </c>
    </row>
    <row r="345" customFormat="false" ht="15" hidden="false" customHeight="true" outlineLevel="0" collapsed="false">
      <c r="A345" s="8" t="s">
        <v>159</v>
      </c>
      <c r="B345" s="8" t="n">
        <v>8904223818669</v>
      </c>
      <c r="C345" s="8" t="s">
        <v>43</v>
      </c>
      <c r="D345" s="8" t="n">
        <f aca="false">C345*IFERROR(INDEX('SKU Master'!$B:$B,MATCH(B345,'SKU Master'!$A:$A,0)),0)</f>
        <v>240</v>
      </c>
    </row>
    <row r="346" customFormat="false" ht="15" hidden="false" customHeight="true" outlineLevel="0" collapsed="false">
      <c r="A346" s="8" t="s">
        <v>159</v>
      </c>
      <c r="B346" s="8" t="n">
        <v>8904223818683</v>
      </c>
      <c r="C346" s="8" t="s">
        <v>43</v>
      </c>
      <c r="D346" s="8" t="n">
        <f aca="false">C346*IFERROR(INDEX('SKU Master'!$B:$B,MATCH(B346,'SKU Master'!$A:$A,0)),0)</f>
        <v>121</v>
      </c>
    </row>
    <row r="347" customFormat="false" ht="15" hidden="false" customHeight="true" outlineLevel="0" collapsed="false">
      <c r="A347" s="8" t="s">
        <v>159</v>
      </c>
      <c r="B347" s="8" t="n">
        <v>8904223818935</v>
      </c>
      <c r="C347" s="8" t="s">
        <v>43</v>
      </c>
      <c r="D347" s="8" t="n">
        <f aca="false">C347*IFERROR(INDEX('SKU Master'!$B:$B,MATCH(B347,'SKU Master'!$A:$A,0)),0)</f>
        <v>120</v>
      </c>
    </row>
    <row r="348" customFormat="false" ht="15" hidden="false" customHeight="true" outlineLevel="0" collapsed="false">
      <c r="A348" s="8" t="s">
        <v>159</v>
      </c>
      <c r="B348" s="8" t="n">
        <v>8904223818713</v>
      </c>
      <c r="C348" s="8" t="s">
        <v>43</v>
      </c>
      <c r="D348" s="8" t="n">
        <f aca="false">C348*IFERROR(INDEX('SKU Master'!$B:$B,MATCH(B348,'SKU Master'!$A:$A,0)),0)</f>
        <v>120</v>
      </c>
    </row>
    <row r="349" customFormat="false" ht="15" hidden="false" customHeight="true" outlineLevel="0" collapsed="false">
      <c r="A349" s="8" t="s">
        <v>159</v>
      </c>
      <c r="B349" s="8" t="n">
        <v>8904223819024</v>
      </c>
      <c r="C349" s="8" t="s">
        <v>43</v>
      </c>
      <c r="D349" s="8" t="n">
        <f aca="false">C349*IFERROR(INDEX('SKU Master'!$B:$B,MATCH(B349,'SKU Master'!$A:$A,0)),0)</f>
        <v>112</v>
      </c>
    </row>
    <row r="350" customFormat="false" ht="15" hidden="false" customHeight="true" outlineLevel="0" collapsed="false">
      <c r="A350" s="8" t="s">
        <v>159</v>
      </c>
      <c r="B350" s="8" t="n">
        <v>8904223819123</v>
      </c>
      <c r="C350" s="8" t="s">
        <v>43</v>
      </c>
      <c r="D350" s="8" t="n">
        <f aca="false">C350*IFERROR(INDEX('SKU Master'!$B:$B,MATCH(B350,'SKU Master'!$A:$A,0)),0)</f>
        <v>250</v>
      </c>
    </row>
    <row r="351" customFormat="false" ht="15" hidden="false" customHeight="true" outlineLevel="0" collapsed="false">
      <c r="A351" s="8" t="s">
        <v>160</v>
      </c>
      <c r="B351" s="8" t="n">
        <v>8904223818706</v>
      </c>
      <c r="C351" s="8" t="s">
        <v>43</v>
      </c>
      <c r="D351" s="8" t="n">
        <f aca="false">C351*IFERROR(INDEX('SKU Master'!$B:$B,MATCH(B351,'SKU Master'!$A:$A,0)),0)</f>
        <v>127</v>
      </c>
    </row>
    <row r="352" customFormat="false" ht="15" hidden="false" customHeight="true" outlineLevel="0" collapsed="false">
      <c r="A352" s="8" t="s">
        <v>160</v>
      </c>
      <c r="B352" s="8" t="n">
        <v>8904223818942</v>
      </c>
      <c r="C352" s="8" t="s">
        <v>43</v>
      </c>
      <c r="D352" s="8" t="n">
        <f aca="false">C352*IFERROR(INDEX('SKU Master'!$B:$B,MATCH(B352,'SKU Master'!$A:$A,0)),0)</f>
        <v>133</v>
      </c>
    </row>
    <row r="353" customFormat="false" ht="15" hidden="false" customHeight="true" outlineLevel="0" collapsed="false">
      <c r="A353" s="8" t="s">
        <v>160</v>
      </c>
      <c r="B353" s="8" t="n">
        <v>8904223818850</v>
      </c>
      <c r="C353" s="8" t="s">
        <v>43</v>
      </c>
      <c r="D353" s="8" t="n">
        <f aca="false">C353*IFERROR(INDEX('SKU Master'!$B:$B,MATCH(B353,'SKU Master'!$A:$A,0)),0)</f>
        <v>240</v>
      </c>
    </row>
    <row r="354" customFormat="false" ht="15" hidden="false" customHeight="true" outlineLevel="0" collapsed="false">
      <c r="A354" s="8" t="s">
        <v>161</v>
      </c>
      <c r="B354" s="8" t="n">
        <v>8904223818591</v>
      </c>
      <c r="C354" s="8" t="s">
        <v>43</v>
      </c>
      <c r="D354" s="8" t="n">
        <f aca="false">C354*IFERROR(INDEX('SKU Master'!$B:$B,MATCH(B354,'SKU Master'!$A:$A,0)),0)</f>
        <v>120</v>
      </c>
    </row>
    <row r="355" customFormat="false" ht="15" hidden="false" customHeight="true" outlineLevel="0" collapsed="false">
      <c r="A355" s="8" t="s">
        <v>161</v>
      </c>
      <c r="B355" s="8" t="n">
        <v>8904223816214</v>
      </c>
      <c r="C355" s="8" t="s">
        <v>43</v>
      </c>
      <c r="D355" s="8" t="n">
        <f aca="false">C355*IFERROR(INDEX('SKU Master'!$B:$B,MATCH(B355,'SKU Master'!$A:$A,0)),0)</f>
        <v>120</v>
      </c>
    </row>
    <row r="356" customFormat="false" ht="15" hidden="false" customHeight="true" outlineLevel="0" collapsed="false">
      <c r="A356" s="8" t="s">
        <v>161</v>
      </c>
      <c r="B356" s="8" t="n">
        <v>8904223819024</v>
      </c>
      <c r="C356" s="8" t="s">
        <v>43</v>
      </c>
      <c r="D356" s="8" t="n">
        <f aca="false">C356*IFERROR(INDEX('SKU Master'!$B:$B,MATCH(B356,'SKU Master'!$A:$A,0)),0)</f>
        <v>112</v>
      </c>
    </row>
    <row r="357" customFormat="false" ht="15" hidden="false" customHeight="true" outlineLevel="0" collapsed="false">
      <c r="A357" s="8" t="s">
        <v>161</v>
      </c>
      <c r="B357" s="8" t="n">
        <v>8904223819253</v>
      </c>
      <c r="C357" s="8" t="s">
        <v>43</v>
      </c>
      <c r="D357" s="8" t="n">
        <f aca="false">C357*IFERROR(INDEX('SKU Master'!$B:$B,MATCH(B357,'SKU Master'!$A:$A,0)),0)</f>
        <v>290</v>
      </c>
    </row>
    <row r="358" customFormat="false" ht="15" hidden="false" customHeight="true" outlineLevel="0" collapsed="false">
      <c r="A358" s="8" t="s">
        <v>161</v>
      </c>
      <c r="B358" s="8" t="n">
        <v>8904223815804</v>
      </c>
      <c r="C358" s="8" t="s">
        <v>43</v>
      </c>
      <c r="D358" s="8" t="n">
        <f aca="false">C358*IFERROR(INDEX('SKU Master'!$B:$B,MATCH(B358,'SKU Master'!$A:$A,0)),0)</f>
        <v>160</v>
      </c>
    </row>
    <row r="359" customFormat="false" ht="15" hidden="false" customHeight="true" outlineLevel="0" collapsed="false">
      <c r="A359" s="8" t="s">
        <v>161</v>
      </c>
      <c r="B359" s="8" t="n">
        <v>8904223818577</v>
      </c>
      <c r="C359" s="8" t="s">
        <v>43</v>
      </c>
      <c r="D359" s="8" t="n">
        <f aca="false">C359*IFERROR(INDEX('SKU Master'!$B:$B,MATCH(B359,'SKU Master'!$A:$A,0)),0)</f>
        <v>150</v>
      </c>
    </row>
    <row r="360" customFormat="false" ht="15" hidden="false" customHeight="true" outlineLevel="0" collapsed="false">
      <c r="A360" s="8" t="s">
        <v>162</v>
      </c>
      <c r="B360" s="8" t="n">
        <v>8904223818706</v>
      </c>
      <c r="C360" s="8" t="s">
        <v>43</v>
      </c>
      <c r="D360" s="8" t="n">
        <f aca="false">C360*IFERROR(INDEX('SKU Master'!$B:$B,MATCH(B360,'SKU Master'!$A:$A,0)),0)</f>
        <v>127</v>
      </c>
    </row>
    <row r="361" customFormat="false" ht="15" hidden="false" customHeight="true" outlineLevel="0" collapsed="false">
      <c r="A361" s="8" t="s">
        <v>163</v>
      </c>
      <c r="B361" s="8" t="n">
        <v>8904223818706</v>
      </c>
      <c r="C361" s="8" t="s">
        <v>43</v>
      </c>
      <c r="D361" s="8" t="n">
        <f aca="false">C361*IFERROR(INDEX('SKU Master'!$B:$B,MATCH(B361,'SKU Master'!$A:$A,0)),0)</f>
        <v>127</v>
      </c>
    </row>
    <row r="362" customFormat="false" ht="15" hidden="false" customHeight="true" outlineLevel="0" collapsed="false">
      <c r="A362" s="8" t="s">
        <v>163</v>
      </c>
      <c r="B362" s="8" t="n">
        <v>8904223818942</v>
      </c>
      <c r="C362" s="8" t="s">
        <v>43</v>
      </c>
      <c r="D362" s="8" t="n">
        <f aca="false">C362*IFERROR(INDEX('SKU Master'!$B:$B,MATCH(B362,'SKU Master'!$A:$A,0)),0)</f>
        <v>133</v>
      </c>
    </row>
    <row r="363" customFormat="false" ht="15" hidden="false" customHeight="true" outlineLevel="0" collapsed="false">
      <c r="A363" s="8" t="s">
        <v>163</v>
      </c>
      <c r="B363" s="8" t="n">
        <v>8904223818850</v>
      </c>
      <c r="C363" s="8" t="s">
        <v>43</v>
      </c>
      <c r="D363" s="8" t="n">
        <f aca="false">C363*IFERROR(INDEX('SKU Master'!$B:$B,MATCH(B363,'SKU Master'!$A:$A,0)),0)</f>
        <v>240</v>
      </c>
    </row>
    <row r="364" customFormat="false" ht="15" hidden="false" customHeight="true" outlineLevel="0" collapsed="false">
      <c r="A364" s="8" t="s">
        <v>164</v>
      </c>
      <c r="B364" s="8" t="n">
        <v>8904223818706</v>
      </c>
      <c r="C364" s="8" t="s">
        <v>45</v>
      </c>
      <c r="D364" s="8" t="n">
        <f aca="false">C364*IFERROR(INDEX('SKU Master'!$B:$B,MATCH(B364,'SKU Master'!$A:$A,0)),0)</f>
        <v>254</v>
      </c>
    </row>
    <row r="365" customFormat="false" ht="15" hidden="false" customHeight="true" outlineLevel="0" collapsed="false">
      <c r="A365" s="8" t="s">
        <v>164</v>
      </c>
      <c r="B365" s="8" t="n">
        <v>8904223818942</v>
      </c>
      <c r="C365" s="8" t="s">
        <v>45</v>
      </c>
      <c r="D365" s="8" t="n">
        <f aca="false">C365*IFERROR(INDEX('SKU Master'!$B:$B,MATCH(B365,'SKU Master'!$A:$A,0)),0)</f>
        <v>266</v>
      </c>
    </row>
    <row r="366" customFormat="false" ht="15" hidden="false" customHeight="true" outlineLevel="0" collapsed="false">
      <c r="A366" s="8" t="s">
        <v>164</v>
      </c>
      <c r="B366" s="8" t="n">
        <v>8904223818850</v>
      </c>
      <c r="C366" s="8" t="s">
        <v>45</v>
      </c>
      <c r="D366" s="8" t="n">
        <f aca="false">C366*IFERROR(INDEX('SKU Master'!$B:$B,MATCH(B366,'SKU Master'!$A:$A,0)),0)</f>
        <v>480</v>
      </c>
    </row>
    <row r="367" customFormat="false" ht="15" hidden="false" customHeight="true" outlineLevel="0" collapsed="false">
      <c r="A367" s="8" t="s">
        <v>164</v>
      </c>
      <c r="B367" s="8" t="n">
        <v>8904223818706</v>
      </c>
      <c r="C367" s="8" t="s">
        <v>43</v>
      </c>
      <c r="D367" s="8" t="n">
        <f aca="false">C367*IFERROR(INDEX('SKU Master'!$B:$B,MATCH(B367,'SKU Master'!$A:$A,0)),0)</f>
        <v>127</v>
      </c>
    </row>
    <row r="368" customFormat="false" ht="15" hidden="false" customHeight="true" outlineLevel="0" collapsed="false">
      <c r="A368" s="8" t="s">
        <v>164</v>
      </c>
      <c r="B368" s="8" t="n">
        <v>8904223818942</v>
      </c>
      <c r="C368" s="8" t="s">
        <v>43</v>
      </c>
      <c r="D368" s="8" t="n">
        <f aca="false">C368*IFERROR(INDEX('SKU Master'!$B:$B,MATCH(B368,'SKU Master'!$A:$A,0)),0)</f>
        <v>133</v>
      </c>
    </row>
    <row r="369" customFormat="false" ht="15" hidden="false" customHeight="true" outlineLevel="0" collapsed="false">
      <c r="A369" s="8" t="s">
        <v>164</v>
      </c>
      <c r="B369" s="8" t="n">
        <v>8904223818850</v>
      </c>
      <c r="C369" s="8" t="s">
        <v>43</v>
      </c>
      <c r="D369" s="8" t="n">
        <f aca="false">C369*IFERROR(INDEX('SKU Master'!$B:$B,MATCH(B369,'SKU Master'!$A:$A,0)),0)</f>
        <v>240</v>
      </c>
    </row>
    <row r="370" customFormat="false" ht="15" hidden="false" customHeight="true" outlineLevel="0" collapsed="false">
      <c r="A370" s="8" t="s">
        <v>164</v>
      </c>
      <c r="B370" s="8" t="n">
        <v>8904223818683</v>
      </c>
      <c r="C370" s="8" t="s">
        <v>43</v>
      </c>
      <c r="D370" s="8" t="n">
        <f aca="false">C370*IFERROR(INDEX('SKU Master'!$B:$B,MATCH(B370,'SKU Master'!$A:$A,0)),0)</f>
        <v>121</v>
      </c>
    </row>
    <row r="371" customFormat="false" ht="15" hidden="false" customHeight="true" outlineLevel="0" collapsed="false">
      <c r="A371" s="8" t="s">
        <v>165</v>
      </c>
      <c r="B371" s="8" t="n">
        <v>8904223819284</v>
      </c>
      <c r="C371" s="8" t="s">
        <v>43</v>
      </c>
      <c r="D371" s="8" t="n">
        <f aca="false">C371*IFERROR(INDEX('SKU Master'!$B:$B,MATCH(B371,'SKU Master'!$A:$A,0)),0)</f>
        <v>350</v>
      </c>
    </row>
    <row r="372" customFormat="false" ht="15" hidden="false" customHeight="true" outlineLevel="0" collapsed="false">
      <c r="A372" s="8" t="s">
        <v>165</v>
      </c>
      <c r="B372" s="8" t="n">
        <v>8904223818478</v>
      </c>
      <c r="C372" s="8" t="s">
        <v>43</v>
      </c>
      <c r="D372" s="8" t="n">
        <f aca="false">C372*IFERROR(INDEX('SKU Master'!$B:$B,MATCH(B372,'SKU Master'!$A:$A,0)),0)</f>
        <v>350</v>
      </c>
    </row>
    <row r="373" customFormat="false" ht="15" hidden="false" customHeight="true" outlineLevel="0" collapsed="false">
      <c r="A373" s="8" t="s">
        <v>166</v>
      </c>
      <c r="B373" s="8" t="n">
        <v>8904223818706</v>
      </c>
      <c r="C373" s="8" t="s">
        <v>43</v>
      </c>
      <c r="D373" s="8" t="n">
        <f aca="false">C373*IFERROR(INDEX('SKU Master'!$B:$B,MATCH(B373,'SKU Master'!$A:$A,0)),0)</f>
        <v>127</v>
      </c>
    </row>
    <row r="374" customFormat="false" ht="15" hidden="false" customHeight="true" outlineLevel="0" collapsed="false">
      <c r="A374" s="8" t="s">
        <v>166</v>
      </c>
      <c r="B374" s="8" t="n">
        <v>8904223818942</v>
      </c>
      <c r="C374" s="8" t="s">
        <v>43</v>
      </c>
      <c r="D374" s="8" t="n">
        <f aca="false">C374*IFERROR(INDEX('SKU Master'!$B:$B,MATCH(B374,'SKU Master'!$A:$A,0)),0)</f>
        <v>133</v>
      </c>
    </row>
    <row r="375" customFormat="false" ht="15" hidden="false" customHeight="true" outlineLevel="0" collapsed="false">
      <c r="A375" s="8" t="s">
        <v>166</v>
      </c>
      <c r="B375" s="8" t="n">
        <v>8904223818850</v>
      </c>
      <c r="C375" s="8" t="s">
        <v>43</v>
      </c>
      <c r="D375" s="8" t="n">
        <f aca="false">C375*IFERROR(INDEX('SKU Master'!$B:$B,MATCH(B375,'SKU Master'!$A:$A,0)),0)</f>
        <v>240</v>
      </c>
    </row>
    <row r="376" customFormat="false" ht="15" hidden="false" customHeight="true" outlineLevel="0" collapsed="false">
      <c r="A376" s="8" t="s">
        <v>167</v>
      </c>
      <c r="B376" s="8" t="n">
        <v>8904223819437</v>
      </c>
      <c r="C376" s="8" t="s">
        <v>45</v>
      </c>
      <c r="D376" s="8" t="n">
        <f aca="false">C376*IFERROR(INDEX('SKU Master'!$B:$B,MATCH(B376,'SKU Master'!$A:$A,0)),0)</f>
        <v>1104</v>
      </c>
    </row>
    <row r="377" customFormat="false" ht="15" hidden="false" customHeight="true" outlineLevel="0" collapsed="false">
      <c r="A377" s="8" t="s">
        <v>167</v>
      </c>
      <c r="B377" s="8" t="n">
        <v>8904223819352</v>
      </c>
      <c r="C377" s="8" t="s">
        <v>43</v>
      </c>
      <c r="D377" s="8" t="n">
        <f aca="false">C377*IFERROR(INDEX('SKU Master'!$B:$B,MATCH(B377,'SKU Master'!$A:$A,0)),0)</f>
        <v>165</v>
      </c>
    </row>
    <row r="378" customFormat="false" ht="15" hidden="false" customHeight="true" outlineLevel="0" collapsed="false">
      <c r="A378" s="8" t="s">
        <v>167</v>
      </c>
      <c r="B378" s="8" t="n">
        <v>8904223819024</v>
      </c>
      <c r="C378" s="8" t="s">
        <v>52</v>
      </c>
      <c r="D378" s="8" t="n">
        <f aca="false">C378*IFERROR(INDEX('SKU Master'!$B:$B,MATCH(B378,'SKU Master'!$A:$A,0)),0)</f>
        <v>896</v>
      </c>
    </row>
    <row r="379" customFormat="false" ht="15" hidden="false" customHeight="true" outlineLevel="0" collapsed="false">
      <c r="A379" s="8" t="s">
        <v>167</v>
      </c>
      <c r="B379" s="8" t="n">
        <v>8904223818874</v>
      </c>
      <c r="C379" s="8" t="s">
        <v>43</v>
      </c>
      <c r="D379" s="8" t="n">
        <f aca="false">C379*IFERROR(INDEX('SKU Master'!$B:$B,MATCH(B379,'SKU Master'!$A:$A,0)),0)</f>
        <v>100</v>
      </c>
    </row>
    <row r="380" customFormat="false" ht="15" hidden="false" customHeight="true" outlineLevel="0" collapsed="false">
      <c r="A380" s="8" t="s">
        <v>168</v>
      </c>
      <c r="B380" s="8" t="n">
        <v>8904223818706</v>
      </c>
      <c r="C380" s="8" t="s">
        <v>43</v>
      </c>
      <c r="D380" s="8" t="n">
        <f aca="false">C380*IFERROR(INDEX('SKU Master'!$B:$B,MATCH(B380,'SKU Master'!$A:$A,0)),0)</f>
        <v>127</v>
      </c>
    </row>
    <row r="381" customFormat="false" ht="15" hidden="false" customHeight="true" outlineLevel="0" collapsed="false">
      <c r="A381" s="8" t="s">
        <v>168</v>
      </c>
      <c r="B381" s="8" t="n">
        <v>8904223818942</v>
      </c>
      <c r="C381" s="8" t="s">
        <v>43</v>
      </c>
      <c r="D381" s="8" t="n">
        <f aca="false">C381*IFERROR(INDEX('SKU Master'!$B:$B,MATCH(B381,'SKU Master'!$A:$A,0)),0)</f>
        <v>133</v>
      </c>
    </row>
    <row r="382" customFormat="false" ht="15" hidden="false" customHeight="true" outlineLevel="0" collapsed="false">
      <c r="A382" s="8" t="s">
        <v>168</v>
      </c>
      <c r="B382" s="8" t="n">
        <v>8904223818850</v>
      </c>
      <c r="C382" s="8" t="s">
        <v>43</v>
      </c>
      <c r="D382" s="8" t="n">
        <f aca="false">C382*IFERROR(INDEX('SKU Master'!$B:$B,MATCH(B382,'SKU Master'!$A:$A,0)),0)</f>
        <v>240</v>
      </c>
    </row>
    <row r="383" customFormat="false" ht="15" hidden="false" customHeight="true" outlineLevel="0" collapsed="false">
      <c r="A383" s="8" t="s">
        <v>169</v>
      </c>
      <c r="B383" s="8" t="n">
        <v>8904223818706</v>
      </c>
      <c r="C383" s="8" t="s">
        <v>43</v>
      </c>
      <c r="D383" s="8" t="n">
        <f aca="false">C383*IFERROR(INDEX('SKU Master'!$B:$B,MATCH(B383,'SKU Master'!$A:$A,0)),0)</f>
        <v>127</v>
      </c>
    </row>
    <row r="384" customFormat="false" ht="15" hidden="false" customHeight="true" outlineLevel="0" collapsed="false">
      <c r="A384" s="8" t="s">
        <v>169</v>
      </c>
      <c r="B384" s="8" t="n">
        <v>8904223818942</v>
      </c>
      <c r="C384" s="8" t="s">
        <v>43</v>
      </c>
      <c r="D384" s="8" t="n">
        <f aca="false">C384*IFERROR(INDEX('SKU Master'!$B:$B,MATCH(B384,'SKU Master'!$A:$A,0)),0)</f>
        <v>133</v>
      </c>
    </row>
    <row r="385" customFormat="false" ht="15" hidden="false" customHeight="true" outlineLevel="0" collapsed="false">
      <c r="A385" s="8" t="s">
        <v>169</v>
      </c>
      <c r="B385" s="8" t="n">
        <v>8904223818850</v>
      </c>
      <c r="C385" s="8" t="s">
        <v>43</v>
      </c>
      <c r="D385" s="8" t="n">
        <f aca="false">C385*IFERROR(INDEX('SKU Master'!$B:$B,MATCH(B385,'SKU Master'!$A:$A,0)),0)</f>
        <v>240</v>
      </c>
    </row>
    <row r="386" customFormat="false" ht="15" hidden="false" customHeight="true" outlineLevel="0" collapsed="false">
      <c r="A386" s="8" t="s">
        <v>170</v>
      </c>
      <c r="B386" s="8" t="n">
        <v>8904223819017</v>
      </c>
      <c r="C386" s="8" t="s">
        <v>43</v>
      </c>
      <c r="D386" s="8" t="n">
        <f aca="false">C386*IFERROR(INDEX('SKU Master'!$B:$B,MATCH(B386,'SKU Master'!$A:$A,0)),0)</f>
        <v>115</v>
      </c>
    </row>
    <row r="387" customFormat="false" ht="15" hidden="false" customHeight="true" outlineLevel="0" collapsed="false">
      <c r="A387" s="8" t="s">
        <v>170</v>
      </c>
      <c r="B387" s="8" t="n">
        <v>8904223818706</v>
      </c>
      <c r="C387" s="8" t="s">
        <v>43</v>
      </c>
      <c r="D387" s="8" t="n">
        <f aca="false">C387*IFERROR(INDEX('SKU Master'!$B:$B,MATCH(B387,'SKU Master'!$A:$A,0)),0)</f>
        <v>127</v>
      </c>
    </row>
    <row r="388" customFormat="false" ht="15" hidden="false" customHeight="true" outlineLevel="0" collapsed="false">
      <c r="A388" s="8" t="s">
        <v>170</v>
      </c>
      <c r="B388" s="8" t="n">
        <v>8904223818942</v>
      </c>
      <c r="C388" s="8" t="s">
        <v>43</v>
      </c>
      <c r="D388" s="8" t="n">
        <f aca="false">C388*IFERROR(INDEX('SKU Master'!$B:$B,MATCH(B388,'SKU Master'!$A:$A,0)),0)</f>
        <v>133</v>
      </c>
    </row>
    <row r="389" customFormat="false" ht="15" hidden="false" customHeight="true" outlineLevel="0" collapsed="false">
      <c r="A389" s="8" t="s">
        <v>170</v>
      </c>
      <c r="B389" s="8" t="n">
        <v>8904223818850</v>
      </c>
      <c r="C389" s="8" t="s">
        <v>43</v>
      </c>
      <c r="D389" s="8" t="n">
        <f aca="false">C389*IFERROR(INDEX('SKU Master'!$B:$B,MATCH(B389,'SKU Master'!$A:$A,0)),0)</f>
        <v>240</v>
      </c>
    </row>
    <row r="390" customFormat="false" ht="15" hidden="false" customHeight="true" outlineLevel="0" collapsed="false">
      <c r="A390" s="8" t="s">
        <v>171</v>
      </c>
      <c r="B390" s="8" t="n">
        <v>8904223819161</v>
      </c>
      <c r="C390" s="8" t="s">
        <v>43</v>
      </c>
      <c r="D390" s="8" t="n">
        <f aca="false">C390*IFERROR(INDEX('SKU Master'!$B:$B,MATCH(B390,'SKU Master'!$A:$A,0)),0)</f>
        <v>115</v>
      </c>
    </row>
    <row r="391" customFormat="false" ht="15" hidden="false" customHeight="true" outlineLevel="0" collapsed="false">
      <c r="A391" s="8" t="s">
        <v>171</v>
      </c>
      <c r="B391" s="8" t="n">
        <v>8904223819260</v>
      </c>
      <c r="C391" s="8" t="s">
        <v>43</v>
      </c>
      <c r="D391" s="8" t="n">
        <f aca="false">C391*IFERROR(INDEX('SKU Master'!$B:$B,MATCH(B391,'SKU Master'!$A:$A,0)),0)</f>
        <v>130</v>
      </c>
    </row>
    <row r="392" customFormat="false" ht="15" hidden="false" customHeight="true" outlineLevel="0" collapsed="false">
      <c r="A392" s="8" t="s">
        <v>172</v>
      </c>
      <c r="B392" s="8" t="n">
        <v>8904223819161</v>
      </c>
      <c r="C392" s="8" t="s">
        <v>43</v>
      </c>
      <c r="D392" s="8" t="n">
        <f aca="false">C392*IFERROR(INDEX('SKU Master'!$B:$B,MATCH(B392,'SKU Master'!$A:$A,0)),0)</f>
        <v>115</v>
      </c>
    </row>
    <row r="393" customFormat="false" ht="15" hidden="false" customHeight="true" outlineLevel="0" collapsed="false">
      <c r="A393" s="8" t="s">
        <v>172</v>
      </c>
      <c r="B393" s="8" t="n">
        <v>8904223819260</v>
      </c>
      <c r="C393" s="8" t="s">
        <v>43</v>
      </c>
      <c r="D393" s="8" t="n">
        <f aca="false">C393*IFERROR(INDEX('SKU Master'!$B:$B,MATCH(B393,'SKU Master'!$A:$A,0)),0)</f>
        <v>130</v>
      </c>
    </row>
    <row r="394" customFormat="false" ht="15" hidden="false" customHeight="true" outlineLevel="0" collapsed="false">
      <c r="A394" s="8" t="s">
        <v>173</v>
      </c>
      <c r="B394" s="8" t="n">
        <v>8904223818645</v>
      </c>
      <c r="C394" s="8" t="s">
        <v>136</v>
      </c>
      <c r="D394" s="8" t="n">
        <f aca="false">C394*IFERROR(INDEX('SKU Master'!$B:$B,MATCH(B394,'SKU Master'!$A:$A,0)),0)</f>
        <v>822</v>
      </c>
    </row>
    <row r="395" customFormat="false" ht="15" hidden="false" customHeight="true" outlineLevel="0" collapsed="false">
      <c r="A395" s="8" t="s">
        <v>173</v>
      </c>
      <c r="B395" s="8" t="n">
        <v>8904223819147</v>
      </c>
      <c r="C395" s="8" t="s">
        <v>45</v>
      </c>
      <c r="D395" s="8" t="n">
        <f aca="false">C395*IFERROR(INDEX('SKU Master'!$B:$B,MATCH(B395,'SKU Master'!$A:$A,0)),0)</f>
        <v>480</v>
      </c>
    </row>
    <row r="396" customFormat="false" ht="15" hidden="false" customHeight="true" outlineLevel="0" collapsed="false">
      <c r="A396" s="8" t="s">
        <v>174</v>
      </c>
      <c r="B396" s="8" t="n">
        <v>8904223818706</v>
      </c>
      <c r="C396" s="8" t="s">
        <v>43</v>
      </c>
      <c r="D396" s="8" t="n">
        <f aca="false">C396*IFERROR(INDEX('SKU Master'!$B:$B,MATCH(B396,'SKU Master'!$A:$A,0)),0)</f>
        <v>127</v>
      </c>
    </row>
    <row r="397" customFormat="false" ht="15" hidden="false" customHeight="true" outlineLevel="0" collapsed="false">
      <c r="A397" s="8" t="s">
        <v>174</v>
      </c>
      <c r="B397" s="8" t="n">
        <v>8904223818942</v>
      </c>
      <c r="C397" s="8" t="s">
        <v>43</v>
      </c>
      <c r="D397" s="8" t="n">
        <f aca="false">C397*IFERROR(INDEX('SKU Master'!$B:$B,MATCH(B397,'SKU Master'!$A:$A,0)),0)</f>
        <v>133</v>
      </c>
    </row>
    <row r="398" customFormat="false" ht="15" hidden="false" customHeight="true" outlineLevel="0" collapsed="false">
      <c r="A398" s="8" t="s">
        <v>174</v>
      </c>
      <c r="B398" s="8" t="n">
        <v>8904223818850</v>
      </c>
      <c r="C398" s="8" t="s">
        <v>43</v>
      </c>
      <c r="D398" s="8" t="n">
        <f aca="false">C398*IFERROR(INDEX('SKU Master'!$B:$B,MATCH(B398,'SKU Master'!$A:$A,0)),0)</f>
        <v>240</v>
      </c>
    </row>
    <row r="399" customFormat="false" ht="15" hidden="false" customHeight="true" outlineLevel="0" collapsed="false">
      <c r="A399" s="8" t="s">
        <v>175</v>
      </c>
      <c r="B399" s="8" t="n">
        <v>8904223818850</v>
      </c>
      <c r="C399" s="8" t="s">
        <v>45</v>
      </c>
      <c r="D399" s="8" t="n">
        <f aca="false">C399*IFERROR(INDEX('SKU Master'!$B:$B,MATCH(B399,'SKU Master'!$A:$A,0)),0)</f>
        <v>480</v>
      </c>
    </row>
    <row r="400" customFormat="false" ht="15" hidden="false" customHeight="true" outlineLevel="0" collapsed="false">
      <c r="A400" s="8" t="s">
        <v>176</v>
      </c>
      <c r="B400" s="8" t="n">
        <v>8904223816214</v>
      </c>
      <c r="C400" s="8" t="s">
        <v>43</v>
      </c>
      <c r="D400" s="8" t="n">
        <f aca="false">C400*IFERROR(INDEX('SKU Master'!$B:$B,MATCH(B400,'SKU Master'!$A:$A,0)),0)</f>
        <v>120</v>
      </c>
    </row>
    <row r="401" customFormat="false" ht="15" hidden="false" customHeight="true" outlineLevel="0" collapsed="false">
      <c r="A401" s="8" t="s">
        <v>176</v>
      </c>
      <c r="B401" s="8" t="n">
        <v>8904223818874</v>
      </c>
      <c r="C401" s="8" t="s">
        <v>43</v>
      </c>
      <c r="D401" s="8" t="n">
        <f aca="false">C401*IFERROR(INDEX('SKU Master'!$B:$B,MATCH(B401,'SKU Master'!$A:$A,0)),0)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</cols>
  <sheetData>
    <row r="1" customFormat="false" ht="15" hidden="false" customHeight="true" outlineLevel="0" collapsed="false">
      <c r="A1" s="7" t="s">
        <v>39</v>
      </c>
      <c r="B1" s="7" t="s">
        <v>177</v>
      </c>
    </row>
    <row r="2" customFormat="false" ht="15" hidden="false" customHeight="true" outlineLevel="0" collapsed="false">
      <c r="A2" s="8" t="n">
        <v>8904223815682</v>
      </c>
      <c r="B2" s="8" t="n">
        <v>210</v>
      </c>
    </row>
    <row r="3" customFormat="false" ht="15" hidden="false" customHeight="true" outlineLevel="0" collapsed="false">
      <c r="A3" s="8" t="n">
        <v>8904223815859</v>
      </c>
      <c r="B3" s="8" t="n">
        <v>165</v>
      </c>
    </row>
    <row r="4" customFormat="false" ht="15" hidden="false" customHeight="true" outlineLevel="0" collapsed="false">
      <c r="A4" s="8" t="n">
        <v>8904223815866</v>
      </c>
      <c r="B4" s="8" t="n">
        <v>113</v>
      </c>
    </row>
    <row r="5" customFormat="false" ht="15" hidden="false" customHeight="true" outlineLevel="0" collapsed="false">
      <c r="A5" s="8" t="n">
        <v>8904223815873</v>
      </c>
      <c r="B5" s="8" t="n">
        <v>65</v>
      </c>
    </row>
    <row r="6" customFormat="false" ht="15" hidden="false" customHeight="true" outlineLevel="0" collapsed="false">
      <c r="A6" s="8" t="n">
        <v>8904223816214</v>
      </c>
      <c r="B6" s="8" t="n">
        <v>120</v>
      </c>
    </row>
    <row r="7" customFormat="false" ht="15" hidden="false" customHeight="true" outlineLevel="0" collapsed="false">
      <c r="A7" s="8" t="n">
        <v>8904223816665</v>
      </c>
      <c r="B7" s="8" t="n">
        <v>102</v>
      </c>
    </row>
    <row r="8" customFormat="false" ht="15" hidden="false" customHeight="true" outlineLevel="0" collapsed="false">
      <c r="A8" s="8" t="n">
        <v>8904223817273</v>
      </c>
      <c r="B8" s="8" t="n">
        <v>65</v>
      </c>
    </row>
    <row r="9" customFormat="false" ht="15" hidden="false" customHeight="true" outlineLevel="0" collapsed="false">
      <c r="A9" s="8" t="n">
        <v>8904223817334</v>
      </c>
      <c r="B9" s="8" t="n">
        <v>170</v>
      </c>
    </row>
    <row r="10" customFormat="false" ht="15" hidden="false" customHeight="true" outlineLevel="0" collapsed="false">
      <c r="A10" s="8" t="n">
        <v>8904223817501</v>
      </c>
      <c r="B10" s="8" t="n">
        <v>350</v>
      </c>
    </row>
    <row r="11" customFormat="false" ht="15" hidden="false" customHeight="true" outlineLevel="0" collapsed="false">
      <c r="A11" s="8" t="n">
        <v>8904223818430</v>
      </c>
      <c r="B11" s="8" t="n">
        <v>165</v>
      </c>
    </row>
    <row r="12" customFormat="false" ht="15" hidden="false" customHeight="true" outlineLevel="0" collapsed="false">
      <c r="A12" s="8" t="n">
        <v>8904223818478</v>
      </c>
      <c r="B12" s="8" t="n">
        <v>350</v>
      </c>
    </row>
    <row r="13" customFormat="false" ht="15" hidden="false" customHeight="true" outlineLevel="0" collapsed="false">
      <c r="A13" s="8" t="n">
        <v>8904223818553</v>
      </c>
      <c r="B13" s="8" t="n">
        <v>115</v>
      </c>
    </row>
    <row r="14" customFormat="false" ht="15" hidden="false" customHeight="true" outlineLevel="0" collapsed="false">
      <c r="A14" s="8" t="n">
        <v>8904223818577</v>
      </c>
      <c r="B14" s="8" t="n">
        <v>150</v>
      </c>
    </row>
    <row r="15" customFormat="false" ht="15" hidden="false" customHeight="true" outlineLevel="0" collapsed="false">
      <c r="A15" s="8" t="n">
        <v>8904223818591</v>
      </c>
      <c r="B15" s="8" t="n">
        <v>120</v>
      </c>
    </row>
    <row r="16" customFormat="false" ht="15" hidden="false" customHeight="true" outlineLevel="0" collapsed="false">
      <c r="A16" s="8" t="n">
        <v>8904223818614</v>
      </c>
      <c r="B16" s="8" t="n">
        <v>65</v>
      </c>
    </row>
    <row r="17" customFormat="false" ht="15" hidden="false" customHeight="true" outlineLevel="0" collapsed="false">
      <c r="A17" s="8" t="n">
        <v>8904223818638</v>
      </c>
      <c r="B17" s="8" t="n">
        <v>137</v>
      </c>
    </row>
    <row r="18" customFormat="false" ht="15" hidden="false" customHeight="true" outlineLevel="0" collapsed="false">
      <c r="A18" s="8" t="n">
        <v>8904223818645</v>
      </c>
      <c r="B18" s="8" t="n">
        <v>137</v>
      </c>
    </row>
    <row r="19" customFormat="false" ht="15" hidden="false" customHeight="true" outlineLevel="0" collapsed="false">
      <c r="A19" s="8" t="n">
        <v>8904223818669</v>
      </c>
      <c r="B19" s="8" t="n">
        <v>240</v>
      </c>
    </row>
    <row r="20" customFormat="false" ht="15" hidden="false" customHeight="true" outlineLevel="0" collapsed="false">
      <c r="A20" s="8" t="n">
        <v>8904223818683</v>
      </c>
      <c r="B20" s="8" t="n">
        <v>121</v>
      </c>
    </row>
    <row r="21" customFormat="false" ht="15" hidden="false" customHeight="true" outlineLevel="0" collapsed="false">
      <c r="A21" s="8" t="n">
        <v>8904223818706</v>
      </c>
      <c r="B21" s="8" t="n">
        <v>127</v>
      </c>
    </row>
    <row r="22" customFormat="false" ht="15" hidden="false" customHeight="true" outlineLevel="0" collapsed="false">
      <c r="A22" s="8" t="n">
        <v>8904223818713</v>
      </c>
      <c r="B22" s="8" t="n">
        <v>120</v>
      </c>
    </row>
    <row r="23" customFormat="false" ht="15" hidden="false" customHeight="true" outlineLevel="0" collapsed="false">
      <c r="A23" s="8" t="n">
        <v>8904223815804</v>
      </c>
      <c r="B23" s="8" t="n">
        <v>160</v>
      </c>
    </row>
    <row r="24" customFormat="false" ht="15" hidden="false" customHeight="true" outlineLevel="0" collapsed="false">
      <c r="A24" s="8" t="n">
        <v>8904223818454</v>
      </c>
      <c r="B24" s="8" t="n">
        <v>232</v>
      </c>
    </row>
    <row r="25" customFormat="false" ht="15" hidden="false" customHeight="true" outlineLevel="0" collapsed="false">
      <c r="A25" s="8" t="n">
        <v>8904223818751</v>
      </c>
      <c r="B25" s="8" t="n">
        <v>113</v>
      </c>
    </row>
    <row r="26" customFormat="false" ht="15" hidden="false" customHeight="true" outlineLevel="0" collapsed="false">
      <c r="A26" s="8" t="n">
        <v>8904223818850</v>
      </c>
      <c r="B26" s="8" t="n">
        <v>240</v>
      </c>
    </row>
    <row r="27" customFormat="false" ht="15" hidden="false" customHeight="true" outlineLevel="0" collapsed="false">
      <c r="A27" s="8" t="n">
        <v>8904223818935</v>
      </c>
      <c r="B27" s="8" t="n">
        <v>120</v>
      </c>
    </row>
    <row r="28" customFormat="false" ht="15" hidden="false" customHeight="true" outlineLevel="0" collapsed="false">
      <c r="A28" s="8" t="n">
        <v>8904223818874</v>
      </c>
      <c r="B28" s="8" t="n">
        <v>100</v>
      </c>
    </row>
    <row r="29" customFormat="false" ht="15" hidden="false" customHeight="true" outlineLevel="0" collapsed="false">
      <c r="A29" s="8" t="n">
        <v>8904223818997</v>
      </c>
      <c r="B29" s="8" t="n">
        <v>490</v>
      </c>
    </row>
    <row r="30" customFormat="false" ht="15" hidden="false" customHeight="true" outlineLevel="0" collapsed="false">
      <c r="A30" s="8" t="n">
        <v>8904223818942</v>
      </c>
      <c r="B30" s="8" t="n">
        <v>133</v>
      </c>
    </row>
    <row r="31" customFormat="false" ht="15" hidden="false" customHeight="true" outlineLevel="0" collapsed="false">
      <c r="A31" s="8" t="n">
        <v>8904223819024</v>
      </c>
      <c r="B31" s="8" t="n">
        <v>112</v>
      </c>
    </row>
    <row r="32" customFormat="false" ht="15" hidden="false" customHeight="true" outlineLevel="0" collapsed="false">
      <c r="A32" s="8" t="n">
        <v>8904223819031</v>
      </c>
      <c r="B32" s="8" t="n">
        <v>112</v>
      </c>
    </row>
    <row r="33" customFormat="false" ht="15" hidden="false" customHeight="true" outlineLevel="0" collapsed="false">
      <c r="A33" s="8" t="n">
        <v>8904223818980</v>
      </c>
      <c r="B33" s="8" t="n">
        <v>110</v>
      </c>
    </row>
    <row r="34" customFormat="false" ht="15" hidden="false" customHeight="true" outlineLevel="0" collapsed="false">
      <c r="A34" s="8" t="n">
        <v>8904223819017</v>
      </c>
      <c r="B34" s="8" t="n">
        <v>115</v>
      </c>
    </row>
    <row r="35" customFormat="false" ht="15" hidden="false" customHeight="true" outlineLevel="0" collapsed="false">
      <c r="A35" s="8" t="n">
        <v>8904223819093</v>
      </c>
      <c r="B35" s="8" t="n">
        <v>150</v>
      </c>
    </row>
    <row r="36" customFormat="false" ht="15" hidden="false" customHeight="true" outlineLevel="0" collapsed="false">
      <c r="A36" s="8" t="n">
        <v>8904223819109</v>
      </c>
      <c r="B36" s="8" t="n">
        <v>100</v>
      </c>
    </row>
    <row r="37" customFormat="false" ht="15" hidden="false" customHeight="true" outlineLevel="0" collapsed="false">
      <c r="A37" s="8" t="n">
        <v>8904223819116</v>
      </c>
      <c r="B37" s="8" t="n">
        <v>30</v>
      </c>
    </row>
    <row r="38" customFormat="false" ht="15" hidden="false" customHeight="true" outlineLevel="0" collapsed="false">
      <c r="A38" s="8" t="n">
        <v>8904223819161</v>
      </c>
      <c r="B38" s="8" t="n">
        <v>115</v>
      </c>
    </row>
    <row r="39" customFormat="false" ht="15" hidden="false" customHeight="true" outlineLevel="0" collapsed="false">
      <c r="A39" s="8" t="n">
        <v>8904223819147</v>
      </c>
      <c r="B39" s="8" t="n">
        <v>240</v>
      </c>
    </row>
    <row r="40" customFormat="false" ht="15" hidden="false" customHeight="true" outlineLevel="0" collapsed="false">
      <c r="A40" s="8" t="n">
        <v>8904223819130</v>
      </c>
      <c r="B40" s="8" t="n">
        <v>350</v>
      </c>
    </row>
    <row r="41" customFormat="false" ht="15" hidden="false" customHeight="true" outlineLevel="0" collapsed="false">
      <c r="A41" s="8" t="n">
        <v>8904223818881</v>
      </c>
      <c r="B41" s="8" t="n">
        <v>140</v>
      </c>
    </row>
    <row r="42" customFormat="false" ht="15" hidden="false" customHeight="true" outlineLevel="0" collapsed="false">
      <c r="A42" s="8" t="n">
        <v>8904223818898</v>
      </c>
      <c r="B42" s="8" t="n">
        <v>140</v>
      </c>
    </row>
    <row r="43" customFormat="false" ht="15" hidden="false" customHeight="true" outlineLevel="0" collapsed="false">
      <c r="A43" s="8" t="n">
        <v>8904223819277</v>
      </c>
      <c r="B43" s="8" t="n">
        <v>350</v>
      </c>
    </row>
    <row r="44" customFormat="false" ht="15" hidden="false" customHeight="true" outlineLevel="0" collapsed="false">
      <c r="A44" s="8" t="n">
        <v>8904223819284</v>
      </c>
      <c r="B44" s="8" t="n">
        <v>350</v>
      </c>
    </row>
    <row r="45" customFormat="false" ht="15" hidden="false" customHeight="true" outlineLevel="0" collapsed="false">
      <c r="A45" s="8" t="n">
        <v>8904223819345</v>
      </c>
      <c r="B45" s="8" t="n">
        <v>165</v>
      </c>
    </row>
    <row r="46" customFormat="false" ht="15" hidden="false" customHeight="true" outlineLevel="0" collapsed="false">
      <c r="A46" s="8" t="n">
        <v>8904223819352</v>
      </c>
      <c r="B46" s="8" t="n">
        <v>165</v>
      </c>
    </row>
    <row r="47" customFormat="false" ht="15" hidden="false" customHeight="true" outlineLevel="0" collapsed="false">
      <c r="A47" s="8" t="n">
        <v>8904223819239</v>
      </c>
      <c r="B47" s="8" t="n">
        <v>290</v>
      </c>
    </row>
    <row r="48" customFormat="false" ht="15" hidden="false" customHeight="true" outlineLevel="0" collapsed="false">
      <c r="A48" s="8" t="n">
        <v>8904223819246</v>
      </c>
      <c r="B48" s="8" t="n">
        <v>290</v>
      </c>
    </row>
    <row r="49" customFormat="false" ht="15" hidden="false" customHeight="true" outlineLevel="0" collapsed="false">
      <c r="A49" s="8" t="n">
        <v>8904223819253</v>
      </c>
      <c r="B49" s="8" t="n">
        <v>290</v>
      </c>
    </row>
    <row r="50" customFormat="false" ht="15" hidden="false" customHeight="true" outlineLevel="0" collapsed="false">
      <c r="A50" s="8" t="n">
        <v>8904223819291</v>
      </c>
      <c r="B50" s="8" t="n">
        <v>112</v>
      </c>
    </row>
    <row r="51" customFormat="false" ht="15" hidden="false" customHeight="true" outlineLevel="0" collapsed="false">
      <c r="A51" s="8" t="n">
        <v>8904223819437</v>
      </c>
      <c r="B51" s="8" t="n">
        <v>552</v>
      </c>
    </row>
    <row r="52" customFormat="false" ht="15" hidden="false" customHeight="true" outlineLevel="0" collapsed="false">
      <c r="A52" s="8" t="s">
        <v>113</v>
      </c>
      <c r="B52" s="8" t="n">
        <v>500</v>
      </c>
    </row>
    <row r="53" customFormat="false" ht="15" hidden="false" customHeight="true" outlineLevel="0" collapsed="false">
      <c r="A53" s="8" t="s">
        <v>101</v>
      </c>
      <c r="B53" s="8" t="n">
        <v>500</v>
      </c>
    </row>
    <row r="54" customFormat="false" ht="15" hidden="false" customHeight="true" outlineLevel="0" collapsed="false">
      <c r="A54" s="8" t="s">
        <v>44</v>
      </c>
      <c r="B54" s="8" t="n">
        <v>500</v>
      </c>
    </row>
    <row r="55" customFormat="false" ht="15" hidden="false" customHeight="true" outlineLevel="0" collapsed="false">
      <c r="A55" s="8" t="n">
        <v>8904223819369</v>
      </c>
      <c r="B55" s="8" t="n">
        <v>170</v>
      </c>
    </row>
    <row r="56" customFormat="false" ht="15" hidden="false" customHeight="true" outlineLevel="0" collapsed="false">
      <c r="A56" s="8" t="s">
        <v>76</v>
      </c>
      <c r="B56" s="8" t="n">
        <v>500</v>
      </c>
    </row>
    <row r="57" customFormat="false" ht="15" hidden="false" customHeight="true" outlineLevel="0" collapsed="false">
      <c r="A57" s="8" t="n">
        <v>8904223819123</v>
      </c>
      <c r="B57" s="8" t="n">
        <v>250</v>
      </c>
    </row>
    <row r="58" customFormat="false" ht="15" hidden="false" customHeight="true" outlineLevel="0" collapsed="false">
      <c r="A58" s="8" t="s">
        <v>44</v>
      </c>
      <c r="B58" s="8" t="n">
        <v>500</v>
      </c>
    </row>
    <row r="59" customFormat="false" ht="15" hidden="false" customHeight="true" outlineLevel="0" collapsed="false">
      <c r="A59" s="8" t="n">
        <v>8904223819468</v>
      </c>
      <c r="B59" s="8" t="n">
        <v>240</v>
      </c>
    </row>
    <row r="60" customFormat="false" ht="15" hidden="false" customHeight="true" outlineLevel="0" collapsed="false">
      <c r="A60" s="8" t="n">
        <v>8904223819260</v>
      </c>
      <c r="B60" s="8" t="n">
        <v>130</v>
      </c>
    </row>
    <row r="61" customFormat="false" ht="15" hidden="false" customHeight="true" outlineLevel="0" collapsed="false">
      <c r="A61" s="8" t="n">
        <v>8904223819321</v>
      </c>
      <c r="B61" s="8" t="n">
        <v>600</v>
      </c>
    </row>
    <row r="62" customFormat="false" ht="15" hidden="false" customHeight="true" outlineLevel="0" collapsed="false">
      <c r="A62" s="8" t="n">
        <v>8904223819338</v>
      </c>
      <c r="B62" s="8" t="n">
        <v>600</v>
      </c>
    </row>
    <row r="63" customFormat="false" ht="15" hidden="false" customHeight="true" outlineLevel="0" collapsed="false">
      <c r="A63" s="8" t="n">
        <v>8904223819505</v>
      </c>
      <c r="B63" s="8" t="n">
        <v>210</v>
      </c>
    </row>
    <row r="64" customFormat="false" ht="15" hidden="false" customHeight="true" outlineLevel="0" collapsed="false">
      <c r="A64" s="8" t="n">
        <v>8904223819499</v>
      </c>
      <c r="B64" s="8" t="n">
        <v>210</v>
      </c>
    </row>
    <row r="65" customFormat="false" ht="15" hidden="false" customHeight="true" outlineLevel="0" collapsed="false">
      <c r="A65" s="8" t="n">
        <v>8904223819512</v>
      </c>
      <c r="B65" s="8" t="n">
        <v>210</v>
      </c>
    </row>
    <row r="66" customFormat="false" ht="15" hidden="false" customHeight="true" outlineLevel="0" collapsed="false">
      <c r="A66" s="8" t="n">
        <v>8904223819543</v>
      </c>
      <c r="B66" s="8" t="n">
        <v>300</v>
      </c>
    </row>
    <row r="67" customFormat="false" ht="15" hidden="false" customHeight="true" outlineLevel="0" collapsed="false">
      <c r="A67" s="8" t="s">
        <v>46</v>
      </c>
      <c r="B67" s="8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  <col collapsed="false" customWidth="true" hidden="false" outlineLevel="0" max="4" min="4" style="1" width="20"/>
  </cols>
  <sheetData>
    <row r="1" customFormat="false" ht="15" hidden="false" customHeight="true" outlineLevel="0" collapsed="false">
      <c r="A1" s="7" t="s">
        <v>178</v>
      </c>
      <c r="B1" s="7" t="s">
        <v>179</v>
      </c>
      <c r="C1" s="7" t="s">
        <v>180</v>
      </c>
      <c r="D1" s="7" t="s">
        <v>181</v>
      </c>
    </row>
    <row r="2" customFormat="false" ht="15" hidden="false" customHeight="true" outlineLevel="0" collapsed="false">
      <c r="A2" s="8" t="n">
        <v>121003</v>
      </c>
      <c r="B2" s="8" t="n">
        <v>507101</v>
      </c>
      <c r="C2" s="8" t="s">
        <v>182</v>
      </c>
      <c r="D2" s="8" t="str">
        <f aca="false">A2&amp;"-"&amp;B2</f>
        <v>121003-507101</v>
      </c>
    </row>
    <row r="3" customFormat="false" ht="15" hidden="false" customHeight="true" outlineLevel="0" collapsed="false">
      <c r="A3" s="8" t="n">
        <v>121003</v>
      </c>
      <c r="B3" s="8" t="n">
        <v>486886</v>
      </c>
      <c r="C3" s="8" t="s">
        <v>182</v>
      </c>
      <c r="D3" s="8" t="str">
        <f aca="false">A3&amp;"-"&amp;B3</f>
        <v>121003-486886</v>
      </c>
    </row>
    <row r="4" customFormat="false" ht="15" hidden="false" customHeight="true" outlineLevel="0" collapsed="false">
      <c r="A4" s="8" t="n">
        <v>121003</v>
      </c>
      <c r="B4" s="8" t="n">
        <v>532484</v>
      </c>
      <c r="C4" s="8" t="s">
        <v>182</v>
      </c>
      <c r="D4" s="8" t="str">
        <f aca="false">A4&amp;"-"&amp;B4</f>
        <v>121003-532484</v>
      </c>
    </row>
    <row r="5" customFormat="false" ht="15" hidden="false" customHeight="true" outlineLevel="0" collapsed="false">
      <c r="A5" s="8" t="n">
        <v>121003</v>
      </c>
      <c r="B5" s="8" t="n">
        <v>143001</v>
      </c>
      <c r="C5" s="8" t="s">
        <v>183</v>
      </c>
      <c r="D5" s="8" t="str">
        <f aca="false">A5&amp;"-"&amp;B5</f>
        <v>121003-143001</v>
      </c>
    </row>
    <row r="6" customFormat="false" ht="15" hidden="false" customHeight="true" outlineLevel="0" collapsed="false">
      <c r="A6" s="8" t="n">
        <v>121003</v>
      </c>
      <c r="B6" s="8" t="n">
        <v>515591</v>
      </c>
      <c r="C6" s="8" t="s">
        <v>182</v>
      </c>
      <c r="D6" s="8" t="str">
        <f aca="false">A6&amp;"-"&amp;B6</f>
        <v>121003-515591</v>
      </c>
    </row>
    <row r="7" customFormat="false" ht="15" hidden="false" customHeight="true" outlineLevel="0" collapsed="false">
      <c r="A7" s="8" t="n">
        <v>121003</v>
      </c>
      <c r="B7" s="8" t="n">
        <v>326502</v>
      </c>
      <c r="C7" s="8" t="s">
        <v>182</v>
      </c>
      <c r="D7" s="8" t="str">
        <f aca="false">A7&amp;"-"&amp;B7</f>
        <v>121003-326502</v>
      </c>
    </row>
    <row r="8" customFormat="false" ht="15" hidden="false" customHeight="true" outlineLevel="0" collapsed="false">
      <c r="A8" s="8" t="n">
        <v>121003</v>
      </c>
      <c r="B8" s="8" t="n">
        <v>208019</v>
      </c>
      <c r="C8" s="8" t="s">
        <v>183</v>
      </c>
      <c r="D8" s="8" t="str">
        <f aca="false">A8&amp;"-"&amp;B8</f>
        <v>121003-208019</v>
      </c>
    </row>
    <row r="9" customFormat="false" ht="15" hidden="false" customHeight="true" outlineLevel="0" collapsed="false">
      <c r="A9" s="8" t="n">
        <v>121003</v>
      </c>
      <c r="B9" s="8" t="n">
        <v>140301</v>
      </c>
      <c r="C9" s="8" t="s">
        <v>183</v>
      </c>
      <c r="D9" s="8" t="str">
        <f aca="false">A9&amp;"-"&amp;B9</f>
        <v>121003-140301</v>
      </c>
    </row>
    <row r="10" customFormat="false" ht="15" hidden="false" customHeight="true" outlineLevel="0" collapsed="false">
      <c r="A10" s="8" t="n">
        <v>121003</v>
      </c>
      <c r="B10" s="8" t="n">
        <v>396001</v>
      </c>
      <c r="C10" s="8" t="s">
        <v>182</v>
      </c>
      <c r="D10" s="8" t="str">
        <f aca="false">A10&amp;"-"&amp;B10</f>
        <v>121003-396001</v>
      </c>
    </row>
    <row r="11" customFormat="false" ht="15" hidden="false" customHeight="true" outlineLevel="0" collapsed="false">
      <c r="A11" s="8" t="n">
        <v>121003</v>
      </c>
      <c r="B11" s="8" t="n">
        <v>711106</v>
      </c>
      <c r="C11" s="8" t="s">
        <v>182</v>
      </c>
      <c r="D11" s="8" t="str">
        <f aca="false">A11&amp;"-"&amp;B11</f>
        <v>121003-711106</v>
      </c>
    </row>
    <row r="12" customFormat="false" ht="15" hidden="false" customHeight="true" outlineLevel="0" collapsed="false">
      <c r="A12" s="8" t="n">
        <v>121003</v>
      </c>
      <c r="B12" s="8" t="n">
        <v>284001</v>
      </c>
      <c r="C12" s="8" t="s">
        <v>183</v>
      </c>
      <c r="D12" s="8" t="str">
        <f aca="false">A12&amp;"-"&amp;B12</f>
        <v>121003-284001</v>
      </c>
    </row>
    <row r="13" customFormat="false" ht="15" hidden="false" customHeight="true" outlineLevel="0" collapsed="false">
      <c r="A13" s="8" t="n">
        <v>121003</v>
      </c>
      <c r="B13" s="8" t="n">
        <v>441601</v>
      </c>
      <c r="C13" s="8" t="s">
        <v>182</v>
      </c>
      <c r="D13" s="8" t="str">
        <f aca="false">A13&amp;"-"&amp;B13</f>
        <v>121003-441601</v>
      </c>
    </row>
    <row r="14" customFormat="false" ht="15" hidden="false" customHeight="true" outlineLevel="0" collapsed="false">
      <c r="A14" s="8" t="n">
        <v>121003</v>
      </c>
      <c r="B14" s="8" t="n">
        <v>248006</v>
      </c>
      <c r="C14" s="8" t="s">
        <v>183</v>
      </c>
      <c r="D14" s="8" t="str">
        <f aca="false">A14&amp;"-"&amp;B14</f>
        <v>121003-248006</v>
      </c>
    </row>
    <row r="15" customFormat="false" ht="15" hidden="false" customHeight="true" outlineLevel="0" collapsed="false">
      <c r="A15" s="8" t="n">
        <v>121003</v>
      </c>
      <c r="B15" s="8" t="n">
        <v>485001</v>
      </c>
      <c r="C15" s="8" t="s">
        <v>182</v>
      </c>
      <c r="D15" s="8" t="str">
        <f aca="false">A15&amp;"-"&amp;B15</f>
        <v>121003-485001</v>
      </c>
    </row>
    <row r="16" customFormat="false" ht="15" hidden="false" customHeight="true" outlineLevel="0" collapsed="false">
      <c r="A16" s="8" t="n">
        <v>121003</v>
      </c>
      <c r="B16" s="8" t="n">
        <v>845438</v>
      </c>
      <c r="C16" s="8" t="s">
        <v>182</v>
      </c>
      <c r="D16" s="8" t="str">
        <f aca="false">A16&amp;"-"&amp;B16</f>
        <v>121003-845438</v>
      </c>
    </row>
    <row r="17" customFormat="false" ht="15" hidden="false" customHeight="true" outlineLevel="0" collapsed="false">
      <c r="A17" s="8" t="n">
        <v>121003</v>
      </c>
      <c r="B17" s="8" t="n">
        <v>463106</v>
      </c>
      <c r="C17" s="8" t="s">
        <v>182</v>
      </c>
      <c r="D17" s="8" t="str">
        <f aca="false">A17&amp;"-"&amp;B17</f>
        <v>121003-463106</v>
      </c>
    </row>
    <row r="18" customFormat="false" ht="15" hidden="false" customHeight="true" outlineLevel="0" collapsed="false">
      <c r="A18" s="8" t="n">
        <v>121003</v>
      </c>
      <c r="B18" s="8" t="n">
        <v>140301</v>
      </c>
      <c r="C18" s="8" t="s">
        <v>183</v>
      </c>
      <c r="D18" s="8" t="str">
        <f aca="false">A18&amp;"-"&amp;B18</f>
        <v>121003-140301</v>
      </c>
    </row>
    <row r="19" customFormat="false" ht="15" hidden="false" customHeight="true" outlineLevel="0" collapsed="false">
      <c r="A19" s="8" t="n">
        <v>121003</v>
      </c>
      <c r="B19" s="8" t="n">
        <v>495671</v>
      </c>
      <c r="C19" s="8" t="s">
        <v>182</v>
      </c>
      <c r="D19" s="8" t="str">
        <f aca="false">A19&amp;"-"&amp;B19</f>
        <v>121003-495671</v>
      </c>
    </row>
    <row r="20" customFormat="false" ht="15" hidden="false" customHeight="true" outlineLevel="0" collapsed="false">
      <c r="A20" s="8" t="n">
        <v>121003</v>
      </c>
      <c r="B20" s="8" t="n">
        <v>673002</v>
      </c>
      <c r="C20" s="8" t="s">
        <v>184</v>
      </c>
      <c r="D20" s="8" t="str">
        <f aca="false">A20&amp;"-"&amp;B20</f>
        <v>121003-673002</v>
      </c>
    </row>
    <row r="21" customFormat="false" ht="15" hidden="false" customHeight="true" outlineLevel="0" collapsed="false">
      <c r="A21" s="8" t="n">
        <v>121003</v>
      </c>
      <c r="B21" s="8" t="n">
        <v>208002</v>
      </c>
      <c r="C21" s="8" t="s">
        <v>183</v>
      </c>
      <c r="D21" s="8" t="str">
        <f aca="false">A21&amp;"-"&amp;B21</f>
        <v>121003-208002</v>
      </c>
    </row>
    <row r="22" customFormat="false" ht="15" hidden="false" customHeight="true" outlineLevel="0" collapsed="false">
      <c r="A22" s="8" t="n">
        <v>121003</v>
      </c>
      <c r="B22" s="8" t="n">
        <v>416010</v>
      </c>
      <c r="C22" s="8" t="s">
        <v>182</v>
      </c>
      <c r="D22" s="8" t="str">
        <f aca="false">A22&amp;"-"&amp;B22</f>
        <v>121003-416010</v>
      </c>
    </row>
    <row r="23" customFormat="false" ht="15" hidden="false" customHeight="true" outlineLevel="0" collapsed="false">
      <c r="A23" s="8" t="n">
        <v>121003</v>
      </c>
      <c r="B23" s="8" t="n">
        <v>226010</v>
      </c>
      <c r="C23" s="8" t="s">
        <v>183</v>
      </c>
      <c r="D23" s="8" t="str">
        <f aca="false">A23&amp;"-"&amp;B23</f>
        <v>121003-226010</v>
      </c>
    </row>
    <row r="24" customFormat="false" ht="15" hidden="false" customHeight="true" outlineLevel="0" collapsed="false">
      <c r="A24" s="8" t="n">
        <v>121003</v>
      </c>
      <c r="B24" s="8" t="n">
        <v>400705</v>
      </c>
      <c r="C24" s="8" t="s">
        <v>182</v>
      </c>
      <c r="D24" s="8" t="str">
        <f aca="false">A24&amp;"-"&amp;B24</f>
        <v>121003-400705</v>
      </c>
    </row>
    <row r="25" customFormat="false" ht="15" hidden="false" customHeight="true" outlineLevel="0" collapsed="false">
      <c r="A25" s="8" t="n">
        <v>121003</v>
      </c>
      <c r="B25" s="8" t="n">
        <v>262405</v>
      </c>
      <c r="C25" s="8" t="s">
        <v>183</v>
      </c>
      <c r="D25" s="8" t="str">
        <f aca="false">A25&amp;"-"&amp;B25</f>
        <v>121003-262405</v>
      </c>
    </row>
    <row r="26" customFormat="false" ht="15" hidden="false" customHeight="true" outlineLevel="0" collapsed="false">
      <c r="A26" s="8" t="n">
        <v>121003</v>
      </c>
      <c r="B26" s="8" t="n">
        <v>394210</v>
      </c>
      <c r="C26" s="8" t="s">
        <v>182</v>
      </c>
      <c r="D26" s="8" t="str">
        <f aca="false">A26&amp;"-"&amp;B26</f>
        <v>121003-394210</v>
      </c>
    </row>
    <row r="27" customFormat="false" ht="15" hidden="false" customHeight="true" outlineLevel="0" collapsed="false">
      <c r="A27" s="8" t="n">
        <v>121003</v>
      </c>
      <c r="B27" s="8" t="n">
        <v>411014</v>
      </c>
      <c r="C27" s="8" t="s">
        <v>182</v>
      </c>
      <c r="D27" s="8" t="str">
        <f aca="false">A27&amp;"-"&amp;B27</f>
        <v>121003-411014</v>
      </c>
    </row>
    <row r="28" customFormat="false" ht="15" hidden="false" customHeight="true" outlineLevel="0" collapsed="false">
      <c r="A28" s="8" t="n">
        <v>121003</v>
      </c>
      <c r="B28" s="8" t="n">
        <v>783301</v>
      </c>
      <c r="C28" s="8" t="s">
        <v>184</v>
      </c>
      <c r="D28" s="8" t="str">
        <f aca="false">A28&amp;"-"&amp;B28</f>
        <v>121003-783301</v>
      </c>
    </row>
    <row r="29" customFormat="false" ht="15" hidden="false" customHeight="true" outlineLevel="0" collapsed="false">
      <c r="A29" s="8" t="n">
        <v>121003</v>
      </c>
      <c r="B29" s="8" t="n">
        <v>486661</v>
      </c>
      <c r="C29" s="8" t="s">
        <v>182</v>
      </c>
      <c r="D29" s="8" t="str">
        <f aca="false">A29&amp;"-"&amp;B29</f>
        <v>121003-486661</v>
      </c>
    </row>
    <row r="30" customFormat="false" ht="15" hidden="false" customHeight="true" outlineLevel="0" collapsed="false">
      <c r="A30" s="8" t="n">
        <v>121003</v>
      </c>
      <c r="B30" s="8" t="n">
        <v>244001</v>
      </c>
      <c r="C30" s="8" t="s">
        <v>183</v>
      </c>
      <c r="D30" s="8" t="str">
        <f aca="false">A30&amp;"-"&amp;B30</f>
        <v>121003-244001</v>
      </c>
    </row>
    <row r="31" customFormat="false" ht="15" hidden="false" customHeight="true" outlineLevel="0" collapsed="false">
      <c r="A31" s="8" t="n">
        <v>121003</v>
      </c>
      <c r="B31" s="8" t="n">
        <v>492001</v>
      </c>
      <c r="C31" s="8" t="s">
        <v>182</v>
      </c>
      <c r="D31" s="8" t="str">
        <f aca="false">A31&amp;"-"&amp;B31</f>
        <v>121003-492001</v>
      </c>
    </row>
    <row r="32" customFormat="false" ht="15" hidden="false" customHeight="true" outlineLevel="0" collapsed="false">
      <c r="A32" s="8" t="n">
        <v>121003</v>
      </c>
      <c r="B32" s="8" t="n">
        <v>517128</v>
      </c>
      <c r="C32" s="8" t="s">
        <v>182</v>
      </c>
      <c r="D32" s="8" t="str">
        <f aca="false">A32&amp;"-"&amp;B32</f>
        <v>121003-517128</v>
      </c>
    </row>
    <row r="33" customFormat="false" ht="15" hidden="false" customHeight="true" outlineLevel="0" collapsed="false">
      <c r="A33" s="8" t="n">
        <v>121003</v>
      </c>
      <c r="B33" s="8" t="n">
        <v>562110</v>
      </c>
      <c r="C33" s="8" t="s">
        <v>182</v>
      </c>
      <c r="D33" s="8" t="str">
        <f aca="false">A33&amp;"-"&amp;B33</f>
        <v>121003-562110</v>
      </c>
    </row>
    <row r="34" customFormat="false" ht="15" hidden="false" customHeight="true" outlineLevel="0" collapsed="false">
      <c r="A34" s="8" t="n">
        <v>121003</v>
      </c>
      <c r="B34" s="8" t="n">
        <v>831006</v>
      </c>
      <c r="C34" s="8" t="s">
        <v>182</v>
      </c>
      <c r="D34" s="8" t="str">
        <f aca="false">A34&amp;"-"&amp;B34</f>
        <v>121003-831006</v>
      </c>
    </row>
    <row r="35" customFormat="false" ht="15" hidden="false" customHeight="true" outlineLevel="0" collapsed="false">
      <c r="A35" s="8" t="n">
        <v>121003</v>
      </c>
      <c r="B35" s="8" t="n">
        <v>140604</v>
      </c>
      <c r="C35" s="8" t="s">
        <v>183</v>
      </c>
      <c r="D35" s="8" t="str">
        <f aca="false">A35&amp;"-"&amp;B35</f>
        <v>121003-140604</v>
      </c>
    </row>
    <row r="36" customFormat="false" ht="15" hidden="false" customHeight="true" outlineLevel="0" collapsed="false">
      <c r="A36" s="8" t="n">
        <v>121003</v>
      </c>
      <c r="B36" s="8" t="n">
        <v>723146</v>
      </c>
      <c r="C36" s="8" t="s">
        <v>182</v>
      </c>
      <c r="D36" s="8" t="str">
        <f aca="false">A36&amp;"-"&amp;B36</f>
        <v>121003-723146</v>
      </c>
    </row>
    <row r="37" customFormat="false" ht="15" hidden="false" customHeight="true" outlineLevel="0" collapsed="false">
      <c r="A37" s="8" t="n">
        <v>121003</v>
      </c>
      <c r="B37" s="8" t="n">
        <v>421204</v>
      </c>
      <c r="C37" s="8" t="s">
        <v>182</v>
      </c>
      <c r="D37" s="8" t="str">
        <f aca="false">A37&amp;"-"&amp;B37</f>
        <v>121003-421204</v>
      </c>
    </row>
    <row r="38" customFormat="false" ht="15" hidden="false" customHeight="true" outlineLevel="0" collapsed="false">
      <c r="A38" s="8" t="n">
        <v>121003</v>
      </c>
      <c r="B38" s="8" t="n">
        <v>263139</v>
      </c>
      <c r="C38" s="8" t="s">
        <v>183</v>
      </c>
      <c r="D38" s="8" t="str">
        <f aca="false">A38&amp;"-"&amp;B38</f>
        <v>121003-263139</v>
      </c>
    </row>
    <row r="39" customFormat="false" ht="15" hidden="false" customHeight="true" outlineLevel="0" collapsed="false">
      <c r="A39" s="8" t="n">
        <v>121003</v>
      </c>
      <c r="B39" s="8" t="n">
        <v>743263</v>
      </c>
      <c r="C39" s="8" t="s">
        <v>182</v>
      </c>
      <c r="D39" s="8" t="str">
        <f aca="false">A39&amp;"-"&amp;B39</f>
        <v>121003-743263</v>
      </c>
    </row>
    <row r="40" customFormat="false" ht="15" hidden="false" customHeight="true" outlineLevel="0" collapsed="false">
      <c r="A40" s="8" t="n">
        <v>121003</v>
      </c>
      <c r="B40" s="8" t="n">
        <v>392150</v>
      </c>
      <c r="C40" s="8" t="s">
        <v>182</v>
      </c>
      <c r="D40" s="8" t="str">
        <f aca="false">A40&amp;"-"&amp;B40</f>
        <v>121003-392150</v>
      </c>
    </row>
    <row r="41" customFormat="false" ht="15" hidden="false" customHeight="true" outlineLevel="0" collapsed="false">
      <c r="A41" s="8" t="n">
        <v>121003</v>
      </c>
      <c r="B41" s="8" t="n">
        <v>382830</v>
      </c>
      <c r="C41" s="8" t="s">
        <v>182</v>
      </c>
      <c r="D41" s="8" t="str">
        <f aca="false">A41&amp;"-"&amp;B41</f>
        <v>121003-382830</v>
      </c>
    </row>
    <row r="42" customFormat="false" ht="15" hidden="false" customHeight="true" outlineLevel="0" collapsed="false">
      <c r="A42" s="8" t="n">
        <v>121003</v>
      </c>
      <c r="B42" s="8" t="n">
        <v>711303</v>
      </c>
      <c r="C42" s="8" t="s">
        <v>182</v>
      </c>
      <c r="D42" s="8" t="str">
        <f aca="false">A42&amp;"-"&amp;B42</f>
        <v>121003-711303</v>
      </c>
    </row>
    <row r="43" customFormat="false" ht="15" hidden="false" customHeight="true" outlineLevel="0" collapsed="false">
      <c r="A43" s="8" t="n">
        <v>121003</v>
      </c>
      <c r="B43" s="8" t="n">
        <v>283102</v>
      </c>
      <c r="C43" s="8" t="s">
        <v>183</v>
      </c>
      <c r="D43" s="8" t="str">
        <f aca="false">A43&amp;"-"&amp;B43</f>
        <v>121003-283102</v>
      </c>
    </row>
    <row r="44" customFormat="false" ht="15" hidden="false" customHeight="true" outlineLevel="0" collapsed="false">
      <c r="A44" s="8" t="n">
        <v>121003</v>
      </c>
      <c r="B44" s="8" t="n">
        <v>370201</v>
      </c>
      <c r="C44" s="8" t="s">
        <v>182</v>
      </c>
      <c r="D44" s="8" t="str">
        <f aca="false">A44&amp;"-"&amp;B44</f>
        <v>121003-370201</v>
      </c>
    </row>
    <row r="45" customFormat="false" ht="15" hidden="false" customHeight="true" outlineLevel="0" collapsed="false">
      <c r="A45" s="8" t="n">
        <v>121003</v>
      </c>
      <c r="B45" s="8" t="n">
        <v>248001</v>
      </c>
      <c r="C45" s="8" t="s">
        <v>183</v>
      </c>
      <c r="D45" s="8" t="str">
        <f aca="false">A45&amp;"-"&amp;B45</f>
        <v>121003-248001</v>
      </c>
    </row>
    <row r="46" customFormat="false" ht="15" hidden="false" customHeight="true" outlineLevel="0" collapsed="false">
      <c r="A46" s="8" t="n">
        <v>121003</v>
      </c>
      <c r="B46" s="8" t="n">
        <v>144001</v>
      </c>
      <c r="C46" s="8" t="s">
        <v>183</v>
      </c>
      <c r="D46" s="8" t="str">
        <f aca="false">A46&amp;"-"&amp;B46</f>
        <v>121003-144001</v>
      </c>
    </row>
    <row r="47" customFormat="false" ht="15" hidden="false" customHeight="true" outlineLevel="0" collapsed="false">
      <c r="A47" s="8" t="n">
        <v>121003</v>
      </c>
      <c r="B47" s="8" t="n">
        <v>403401</v>
      </c>
      <c r="C47" s="8" t="s">
        <v>182</v>
      </c>
      <c r="D47" s="8" t="str">
        <f aca="false">A47&amp;"-"&amp;B47</f>
        <v>121003-403401</v>
      </c>
    </row>
    <row r="48" customFormat="false" ht="15" hidden="false" customHeight="true" outlineLevel="0" collapsed="false">
      <c r="A48" s="8" t="n">
        <v>121003</v>
      </c>
      <c r="B48" s="8" t="n">
        <v>452001</v>
      </c>
      <c r="C48" s="8" t="s">
        <v>182</v>
      </c>
      <c r="D48" s="8" t="str">
        <f aca="false">A48&amp;"-"&amp;B48</f>
        <v>121003-452001</v>
      </c>
    </row>
    <row r="49" customFormat="false" ht="15" hidden="false" customHeight="true" outlineLevel="0" collapsed="false">
      <c r="A49" s="8" t="n">
        <v>121003</v>
      </c>
      <c r="B49" s="8" t="n">
        <v>721636</v>
      </c>
      <c r="C49" s="8" t="s">
        <v>182</v>
      </c>
      <c r="D49" s="8" t="str">
        <f aca="false">A49&amp;"-"&amp;B49</f>
        <v>121003-721636</v>
      </c>
    </row>
    <row r="50" customFormat="false" ht="15" hidden="false" customHeight="true" outlineLevel="0" collapsed="false">
      <c r="A50" s="8" t="n">
        <v>121003</v>
      </c>
      <c r="B50" s="8" t="n">
        <v>831002</v>
      </c>
      <c r="C50" s="8" t="s">
        <v>182</v>
      </c>
      <c r="D50" s="8" t="str">
        <f aca="false">A50&amp;"-"&amp;B50</f>
        <v>121003-831002</v>
      </c>
    </row>
    <row r="51" customFormat="false" ht="15" hidden="false" customHeight="true" outlineLevel="0" collapsed="false">
      <c r="A51" s="8" t="n">
        <v>121003</v>
      </c>
      <c r="B51" s="8" t="n">
        <v>226004</v>
      </c>
      <c r="C51" s="8" t="s">
        <v>183</v>
      </c>
      <c r="D51" s="8" t="str">
        <f aca="false">A51&amp;"-"&amp;B51</f>
        <v>121003-226004</v>
      </c>
    </row>
    <row r="52" customFormat="false" ht="15" hidden="false" customHeight="true" outlineLevel="0" collapsed="false">
      <c r="A52" s="8" t="n">
        <v>121003</v>
      </c>
      <c r="B52" s="8" t="n">
        <v>248001</v>
      </c>
      <c r="C52" s="8" t="s">
        <v>183</v>
      </c>
      <c r="D52" s="8" t="str">
        <f aca="false">A52&amp;"-"&amp;B52</f>
        <v>121003-248001</v>
      </c>
    </row>
    <row r="53" customFormat="false" ht="15" hidden="false" customHeight="true" outlineLevel="0" collapsed="false">
      <c r="A53" s="8" t="n">
        <v>121003</v>
      </c>
      <c r="B53" s="8" t="n">
        <v>410206</v>
      </c>
      <c r="C53" s="8" t="s">
        <v>182</v>
      </c>
      <c r="D53" s="8" t="str">
        <f aca="false">A53&amp;"-"&amp;B53</f>
        <v>121003-410206</v>
      </c>
    </row>
    <row r="54" customFormat="false" ht="15" hidden="false" customHeight="true" outlineLevel="0" collapsed="false">
      <c r="A54" s="8" t="n">
        <v>121003</v>
      </c>
      <c r="B54" s="8" t="n">
        <v>516503</v>
      </c>
      <c r="C54" s="8" t="s">
        <v>182</v>
      </c>
      <c r="D54" s="8" t="str">
        <f aca="false">A54&amp;"-"&amp;B54</f>
        <v>121003-516503</v>
      </c>
    </row>
    <row r="55" customFormat="false" ht="15" hidden="false" customHeight="true" outlineLevel="0" collapsed="false">
      <c r="A55" s="8" t="n">
        <v>121003</v>
      </c>
      <c r="B55" s="8" t="n">
        <v>742103</v>
      </c>
      <c r="C55" s="8" t="s">
        <v>182</v>
      </c>
      <c r="D55" s="8" t="str">
        <f aca="false">A55&amp;"-"&amp;B55</f>
        <v>121003-742103</v>
      </c>
    </row>
    <row r="56" customFormat="false" ht="15" hidden="false" customHeight="true" outlineLevel="0" collapsed="false">
      <c r="A56" s="8" t="n">
        <v>121003</v>
      </c>
      <c r="B56" s="8" t="n">
        <v>452018</v>
      </c>
      <c r="C56" s="8" t="s">
        <v>182</v>
      </c>
      <c r="D56" s="8" t="str">
        <f aca="false">A56&amp;"-"&amp;B56</f>
        <v>121003-452018</v>
      </c>
    </row>
    <row r="57" customFormat="false" ht="15" hidden="false" customHeight="true" outlineLevel="0" collapsed="false">
      <c r="A57" s="8" t="n">
        <v>121003</v>
      </c>
      <c r="B57" s="8" t="n">
        <v>208001</v>
      </c>
      <c r="C57" s="8" t="s">
        <v>183</v>
      </c>
      <c r="D57" s="8" t="str">
        <f aca="false">A57&amp;"-"&amp;B57</f>
        <v>121003-208001</v>
      </c>
    </row>
    <row r="58" customFormat="false" ht="15" hidden="false" customHeight="true" outlineLevel="0" collapsed="false">
      <c r="A58" s="8" t="n">
        <v>121003</v>
      </c>
      <c r="B58" s="8" t="n">
        <v>244713</v>
      </c>
      <c r="C58" s="8" t="s">
        <v>183</v>
      </c>
      <c r="D58" s="8" t="str">
        <f aca="false">A58&amp;"-"&amp;B58</f>
        <v>121003-244713</v>
      </c>
    </row>
    <row r="59" customFormat="false" ht="15" hidden="false" customHeight="true" outlineLevel="0" collapsed="false">
      <c r="A59" s="8" t="n">
        <v>121003</v>
      </c>
      <c r="B59" s="8" t="n">
        <v>580007</v>
      </c>
      <c r="C59" s="8" t="s">
        <v>182</v>
      </c>
      <c r="D59" s="8" t="str">
        <f aca="false">A59&amp;"-"&amp;B59</f>
        <v>121003-580007</v>
      </c>
    </row>
    <row r="60" customFormat="false" ht="15" hidden="false" customHeight="true" outlineLevel="0" collapsed="false">
      <c r="A60" s="8" t="n">
        <v>121003</v>
      </c>
      <c r="B60" s="8" t="n">
        <v>360005</v>
      </c>
      <c r="C60" s="8" t="s">
        <v>182</v>
      </c>
      <c r="D60" s="8" t="str">
        <f aca="false">A60&amp;"-"&amp;B60</f>
        <v>121003-360005</v>
      </c>
    </row>
    <row r="61" customFormat="false" ht="15" hidden="false" customHeight="true" outlineLevel="0" collapsed="false">
      <c r="A61" s="8" t="n">
        <v>121003</v>
      </c>
      <c r="B61" s="8" t="n">
        <v>313027</v>
      </c>
      <c r="C61" s="8" t="s">
        <v>183</v>
      </c>
      <c r="D61" s="8" t="str">
        <f aca="false">A61&amp;"-"&amp;B61</f>
        <v>121003-313027</v>
      </c>
    </row>
    <row r="62" customFormat="false" ht="15" hidden="false" customHeight="true" outlineLevel="0" collapsed="false">
      <c r="A62" s="8" t="n">
        <v>121003</v>
      </c>
      <c r="B62" s="8" t="n">
        <v>341001</v>
      </c>
      <c r="C62" s="8" t="s">
        <v>183</v>
      </c>
      <c r="D62" s="8" t="str">
        <f aca="false">A62&amp;"-"&amp;B62</f>
        <v>121003-341001</v>
      </c>
    </row>
    <row r="63" customFormat="false" ht="15" hidden="false" customHeight="true" outlineLevel="0" collapsed="false">
      <c r="A63" s="8" t="n">
        <v>121003</v>
      </c>
      <c r="B63" s="8" t="n">
        <v>332715</v>
      </c>
      <c r="C63" s="8" t="s">
        <v>183</v>
      </c>
      <c r="D63" s="8" t="str">
        <f aca="false">A63&amp;"-"&amp;B63</f>
        <v>121003-332715</v>
      </c>
    </row>
    <row r="64" customFormat="false" ht="15" hidden="false" customHeight="true" outlineLevel="0" collapsed="false">
      <c r="A64" s="8" t="n">
        <v>121003</v>
      </c>
      <c r="B64" s="8" t="n">
        <v>302031</v>
      </c>
      <c r="C64" s="8" t="s">
        <v>183</v>
      </c>
      <c r="D64" s="8" t="str">
        <f aca="false">A64&amp;"-"&amp;B64</f>
        <v>121003-302031</v>
      </c>
    </row>
    <row r="65" customFormat="false" ht="15" hidden="false" customHeight="true" outlineLevel="0" collapsed="false">
      <c r="A65" s="8" t="n">
        <v>121003</v>
      </c>
      <c r="B65" s="8" t="n">
        <v>335001</v>
      </c>
      <c r="C65" s="8" t="s">
        <v>183</v>
      </c>
      <c r="D65" s="8" t="str">
        <f aca="false">A65&amp;"-"&amp;B65</f>
        <v>121003-335001</v>
      </c>
    </row>
    <row r="66" customFormat="false" ht="15" hidden="false" customHeight="true" outlineLevel="0" collapsed="false">
      <c r="A66" s="8" t="n">
        <v>121003</v>
      </c>
      <c r="B66" s="8" t="n">
        <v>334004</v>
      </c>
      <c r="C66" s="8" t="s">
        <v>183</v>
      </c>
      <c r="D66" s="8" t="str">
        <f aca="false">A66&amp;"-"&amp;B66</f>
        <v>121003-334004</v>
      </c>
    </row>
    <row r="67" customFormat="false" ht="15" hidden="false" customHeight="true" outlineLevel="0" collapsed="false">
      <c r="A67" s="8" t="n">
        <v>121003</v>
      </c>
      <c r="B67" s="8" t="n">
        <v>321001</v>
      </c>
      <c r="C67" s="8" t="s">
        <v>183</v>
      </c>
      <c r="D67" s="8" t="str">
        <f aca="false">A67&amp;"-"&amp;B67</f>
        <v>121003-321001</v>
      </c>
    </row>
    <row r="68" customFormat="false" ht="15" hidden="false" customHeight="true" outlineLevel="0" collapsed="false">
      <c r="A68" s="8" t="n">
        <v>121003</v>
      </c>
      <c r="B68" s="8" t="n">
        <v>324001</v>
      </c>
      <c r="C68" s="8" t="s">
        <v>183</v>
      </c>
      <c r="D68" s="8" t="str">
        <f aca="false">A68&amp;"-"&amp;B68</f>
        <v>121003-324001</v>
      </c>
    </row>
    <row r="69" customFormat="false" ht="15" hidden="false" customHeight="true" outlineLevel="0" collapsed="false">
      <c r="A69" s="8" t="n">
        <v>121003</v>
      </c>
      <c r="B69" s="8" t="n">
        <v>321608</v>
      </c>
      <c r="C69" s="8" t="s">
        <v>183</v>
      </c>
      <c r="D69" s="8" t="str">
        <f aca="false">A69&amp;"-"&amp;B69</f>
        <v>121003-321608</v>
      </c>
    </row>
    <row r="70" customFormat="false" ht="15" hidden="false" customHeight="true" outlineLevel="0" collapsed="false">
      <c r="A70" s="8" t="n">
        <v>121003</v>
      </c>
      <c r="B70" s="8" t="n">
        <v>302002</v>
      </c>
      <c r="C70" s="8" t="s">
        <v>183</v>
      </c>
      <c r="D70" s="8" t="str">
        <f aca="false">A70&amp;"-"&amp;B70</f>
        <v>121003-302002</v>
      </c>
    </row>
    <row r="71" customFormat="false" ht="15" hidden="false" customHeight="true" outlineLevel="0" collapsed="false">
      <c r="A71" s="8" t="n">
        <v>121003</v>
      </c>
      <c r="B71" s="8" t="n">
        <v>311011</v>
      </c>
      <c r="C71" s="8" t="s">
        <v>183</v>
      </c>
      <c r="D71" s="8" t="str">
        <f aca="false">A71&amp;"-"&amp;B71</f>
        <v>121003-311011</v>
      </c>
    </row>
    <row r="72" customFormat="false" ht="15" hidden="false" customHeight="true" outlineLevel="0" collapsed="false">
      <c r="A72" s="8" t="n">
        <v>121003</v>
      </c>
      <c r="B72" s="8" t="n">
        <v>306302</v>
      </c>
      <c r="C72" s="8" t="s">
        <v>183</v>
      </c>
      <c r="D72" s="8" t="str">
        <f aca="false">A72&amp;"-"&amp;B72</f>
        <v>121003-306302</v>
      </c>
    </row>
    <row r="73" customFormat="false" ht="15" hidden="false" customHeight="true" outlineLevel="0" collapsed="false">
      <c r="A73" s="8" t="n">
        <v>121003</v>
      </c>
      <c r="B73" s="8" t="n">
        <v>313001</v>
      </c>
      <c r="C73" s="8" t="s">
        <v>183</v>
      </c>
      <c r="D73" s="8" t="str">
        <f aca="false">A73&amp;"-"&amp;B73</f>
        <v>121003-313001</v>
      </c>
    </row>
    <row r="74" customFormat="false" ht="15" hidden="false" customHeight="true" outlineLevel="0" collapsed="false">
      <c r="A74" s="8" t="n">
        <v>121003</v>
      </c>
      <c r="B74" s="8" t="n">
        <v>302002</v>
      </c>
      <c r="C74" s="8" t="s">
        <v>183</v>
      </c>
      <c r="D74" s="8" t="str">
        <f aca="false">A74&amp;"-"&amp;B74</f>
        <v>121003-302002</v>
      </c>
    </row>
    <row r="75" customFormat="false" ht="15" hidden="false" customHeight="true" outlineLevel="0" collapsed="false">
      <c r="A75" s="8" t="n">
        <v>121003</v>
      </c>
      <c r="B75" s="8" t="n">
        <v>322255</v>
      </c>
      <c r="C75" s="8" t="s">
        <v>183</v>
      </c>
      <c r="D75" s="8" t="str">
        <f aca="false">A75&amp;"-"&amp;B75</f>
        <v>121003-322255</v>
      </c>
    </row>
    <row r="76" customFormat="false" ht="15" hidden="false" customHeight="true" outlineLevel="0" collapsed="false">
      <c r="A76" s="8" t="n">
        <v>121003</v>
      </c>
      <c r="B76" s="8" t="n">
        <v>302017</v>
      </c>
      <c r="C76" s="8" t="s">
        <v>183</v>
      </c>
      <c r="D76" s="8" t="str">
        <f aca="false">A76&amp;"-"&amp;B76</f>
        <v>121003-302017</v>
      </c>
    </row>
    <row r="77" customFormat="false" ht="15" hidden="false" customHeight="true" outlineLevel="0" collapsed="false">
      <c r="A77" s="8" t="n">
        <v>121003</v>
      </c>
      <c r="B77" s="8" t="n">
        <v>302017</v>
      </c>
      <c r="C77" s="8" t="s">
        <v>183</v>
      </c>
      <c r="D77" s="8" t="str">
        <f aca="false">A77&amp;"-"&amp;B77</f>
        <v>121003-302017</v>
      </c>
    </row>
    <row r="78" customFormat="false" ht="15" hidden="false" customHeight="true" outlineLevel="0" collapsed="false">
      <c r="A78" s="8" t="n">
        <v>121003</v>
      </c>
      <c r="B78" s="8" t="n">
        <v>335512</v>
      </c>
      <c r="C78" s="8" t="s">
        <v>183</v>
      </c>
      <c r="D78" s="8" t="str">
        <f aca="false">A78&amp;"-"&amp;B78</f>
        <v>121003-335512</v>
      </c>
    </row>
    <row r="79" customFormat="false" ht="15" hidden="false" customHeight="true" outlineLevel="0" collapsed="false">
      <c r="A79" s="8" t="n">
        <v>121003</v>
      </c>
      <c r="B79" s="8" t="n">
        <v>313001</v>
      </c>
      <c r="C79" s="8" t="s">
        <v>183</v>
      </c>
      <c r="D79" s="8" t="str">
        <f aca="false">A79&amp;"-"&amp;B79</f>
        <v>121003-313001</v>
      </c>
    </row>
    <row r="80" customFormat="false" ht="15" hidden="false" customHeight="true" outlineLevel="0" collapsed="false">
      <c r="A80" s="8" t="n">
        <v>121003</v>
      </c>
      <c r="B80" s="8" t="n">
        <v>313001</v>
      </c>
      <c r="C80" s="8" t="s">
        <v>183</v>
      </c>
      <c r="D80" s="8" t="str">
        <f aca="false">A80&amp;"-"&amp;B80</f>
        <v>121003-313001</v>
      </c>
    </row>
    <row r="81" customFormat="false" ht="15" hidden="false" customHeight="true" outlineLevel="0" collapsed="false">
      <c r="A81" s="8" t="n">
        <v>121003</v>
      </c>
      <c r="B81" s="8" t="n">
        <v>307026</v>
      </c>
      <c r="C81" s="8" t="s">
        <v>183</v>
      </c>
      <c r="D81" s="8" t="str">
        <f aca="false">A81&amp;"-"&amp;B81</f>
        <v>121003-307026</v>
      </c>
    </row>
    <row r="82" customFormat="false" ht="15" hidden="false" customHeight="true" outlineLevel="0" collapsed="false">
      <c r="A82" s="8" t="n">
        <v>121003</v>
      </c>
      <c r="B82" s="8" t="n">
        <v>327025</v>
      </c>
      <c r="C82" s="8" t="s">
        <v>183</v>
      </c>
      <c r="D82" s="8" t="str">
        <f aca="false">A82&amp;"-"&amp;B82</f>
        <v>121003-327025</v>
      </c>
    </row>
    <row r="83" customFormat="false" ht="15" hidden="false" customHeight="true" outlineLevel="0" collapsed="false">
      <c r="A83" s="8" t="n">
        <v>121003</v>
      </c>
      <c r="B83" s="8" t="n">
        <v>313333</v>
      </c>
      <c r="C83" s="8" t="s">
        <v>183</v>
      </c>
      <c r="D83" s="8" t="str">
        <f aca="false">A83&amp;"-"&amp;B83</f>
        <v>121003-313333</v>
      </c>
    </row>
    <row r="84" customFormat="false" ht="15" hidden="false" customHeight="true" outlineLevel="0" collapsed="false">
      <c r="A84" s="8" t="n">
        <v>121003</v>
      </c>
      <c r="B84" s="8" t="n">
        <v>313001</v>
      </c>
      <c r="C84" s="8" t="s">
        <v>183</v>
      </c>
      <c r="D84" s="8" t="str">
        <f aca="false">A84&amp;"-"&amp;B84</f>
        <v>121003-313001</v>
      </c>
    </row>
    <row r="85" customFormat="false" ht="15" hidden="false" customHeight="true" outlineLevel="0" collapsed="false">
      <c r="A85" s="8" t="n">
        <v>121003</v>
      </c>
      <c r="B85" s="8" t="n">
        <v>342008</v>
      </c>
      <c r="C85" s="8" t="s">
        <v>183</v>
      </c>
      <c r="D85" s="8" t="str">
        <f aca="false">A85&amp;"-"&amp;B85</f>
        <v>121003-342008</v>
      </c>
    </row>
    <row r="86" customFormat="false" ht="15" hidden="false" customHeight="true" outlineLevel="0" collapsed="false">
      <c r="A86" s="8" t="n">
        <v>121003</v>
      </c>
      <c r="B86" s="8" t="n">
        <v>314401</v>
      </c>
      <c r="C86" s="8" t="s">
        <v>183</v>
      </c>
      <c r="D86" s="8" t="str">
        <f aca="false">A86&amp;"-"&amp;B86</f>
        <v>121003-314401</v>
      </c>
    </row>
    <row r="87" customFormat="false" ht="15" hidden="false" customHeight="true" outlineLevel="0" collapsed="false">
      <c r="A87" s="8" t="n">
        <v>121003</v>
      </c>
      <c r="B87" s="8" t="n">
        <v>342301</v>
      </c>
      <c r="C87" s="8" t="s">
        <v>183</v>
      </c>
      <c r="D87" s="8" t="str">
        <f aca="false">A87&amp;"-"&amp;B87</f>
        <v>121003-342301</v>
      </c>
    </row>
    <row r="88" customFormat="false" ht="15" hidden="false" customHeight="true" outlineLevel="0" collapsed="false">
      <c r="A88" s="8" t="n">
        <v>121003</v>
      </c>
      <c r="B88" s="8" t="n">
        <v>313003</v>
      </c>
      <c r="C88" s="8" t="s">
        <v>183</v>
      </c>
      <c r="D88" s="8" t="str">
        <f aca="false">A88&amp;"-"&amp;B88</f>
        <v>121003-313003</v>
      </c>
    </row>
    <row r="89" customFormat="false" ht="15" hidden="false" customHeight="true" outlineLevel="0" collapsed="false">
      <c r="A89" s="8" t="n">
        <v>121003</v>
      </c>
      <c r="B89" s="8" t="n">
        <v>173212</v>
      </c>
      <c r="C89" s="8" t="s">
        <v>184</v>
      </c>
      <c r="D89" s="8" t="str">
        <f aca="false">A89&amp;"-"&amp;B89</f>
        <v>121003-173212</v>
      </c>
    </row>
    <row r="90" customFormat="false" ht="15" hidden="false" customHeight="true" outlineLevel="0" collapsed="false">
      <c r="A90" s="8" t="n">
        <v>121003</v>
      </c>
      <c r="B90" s="8" t="n">
        <v>174101</v>
      </c>
      <c r="C90" s="8" t="s">
        <v>184</v>
      </c>
      <c r="D90" s="8" t="str">
        <f aca="false">A90&amp;"-"&amp;B90</f>
        <v>121003-174101</v>
      </c>
    </row>
    <row r="91" customFormat="false" ht="15" hidden="false" customHeight="true" outlineLevel="0" collapsed="false">
      <c r="A91" s="8" t="n">
        <v>121003</v>
      </c>
      <c r="B91" s="8" t="n">
        <v>173213</v>
      </c>
      <c r="C91" s="8" t="s">
        <v>184</v>
      </c>
      <c r="D91" s="8" t="str">
        <f aca="false">A91&amp;"-"&amp;B91</f>
        <v>121003-173213</v>
      </c>
    </row>
    <row r="92" customFormat="false" ht="15" hidden="false" customHeight="true" outlineLevel="0" collapsed="false">
      <c r="A92" s="8" t="n">
        <v>121003</v>
      </c>
      <c r="B92" s="8" t="n">
        <v>302017</v>
      </c>
      <c r="C92" s="8" t="s">
        <v>183</v>
      </c>
      <c r="D92" s="8" t="str">
        <f aca="false">A92&amp;"-"&amp;B92</f>
        <v>121003-302017</v>
      </c>
    </row>
    <row r="93" customFormat="false" ht="15" hidden="false" customHeight="true" outlineLevel="0" collapsed="false">
      <c r="A93" s="8" t="n">
        <v>121003</v>
      </c>
      <c r="B93" s="8" t="n">
        <v>322201</v>
      </c>
      <c r="C93" s="8" t="s">
        <v>183</v>
      </c>
      <c r="D93" s="8" t="str">
        <f aca="false">A93&amp;"-"&amp;B93</f>
        <v>121003-322201</v>
      </c>
    </row>
    <row r="94" customFormat="false" ht="15" hidden="false" customHeight="true" outlineLevel="0" collapsed="false">
      <c r="A94" s="8" t="n">
        <v>121003</v>
      </c>
      <c r="B94" s="8" t="n">
        <v>314001</v>
      </c>
      <c r="C94" s="8" t="s">
        <v>183</v>
      </c>
      <c r="D94" s="8" t="str">
        <f aca="false">A94&amp;"-"&amp;B94</f>
        <v>121003-314001</v>
      </c>
    </row>
    <row r="95" customFormat="false" ht="15" hidden="false" customHeight="true" outlineLevel="0" collapsed="false">
      <c r="A95" s="8" t="n">
        <v>121003</v>
      </c>
      <c r="B95" s="8" t="n">
        <v>331022</v>
      </c>
      <c r="C95" s="8" t="s">
        <v>183</v>
      </c>
      <c r="D95" s="8" t="str">
        <f aca="false">A95&amp;"-"&amp;B95</f>
        <v>121003-331022</v>
      </c>
    </row>
    <row r="96" customFormat="false" ht="15" hidden="false" customHeight="true" outlineLevel="0" collapsed="false">
      <c r="A96" s="8" t="n">
        <v>121003</v>
      </c>
      <c r="B96" s="8" t="n">
        <v>305801</v>
      </c>
      <c r="C96" s="8" t="s">
        <v>183</v>
      </c>
      <c r="D96" s="8" t="str">
        <f aca="false">A96&amp;"-"&amp;B96</f>
        <v>121003-305801</v>
      </c>
    </row>
    <row r="97" customFormat="false" ht="15" hidden="false" customHeight="true" outlineLevel="0" collapsed="false">
      <c r="A97" s="8" t="n">
        <v>121003</v>
      </c>
      <c r="B97" s="8" t="n">
        <v>335502</v>
      </c>
      <c r="C97" s="8" t="s">
        <v>183</v>
      </c>
      <c r="D97" s="8" t="str">
        <f aca="false">A97&amp;"-"&amp;B97</f>
        <v>121003-335502</v>
      </c>
    </row>
    <row r="98" customFormat="false" ht="15" hidden="false" customHeight="true" outlineLevel="0" collapsed="false">
      <c r="A98" s="8" t="n">
        <v>121003</v>
      </c>
      <c r="B98" s="8" t="n">
        <v>306116</v>
      </c>
      <c r="C98" s="8" t="s">
        <v>183</v>
      </c>
      <c r="D98" s="8" t="str">
        <f aca="false">A98&amp;"-"&amp;B98</f>
        <v>121003-306116</v>
      </c>
    </row>
    <row r="99" customFormat="false" ht="15" hidden="false" customHeight="true" outlineLevel="0" collapsed="false">
      <c r="A99" s="8" t="n">
        <v>121003</v>
      </c>
      <c r="B99" s="8" t="n">
        <v>311001</v>
      </c>
      <c r="C99" s="8" t="s">
        <v>183</v>
      </c>
      <c r="D99" s="8" t="str">
        <f aca="false">A99&amp;"-"&amp;B99</f>
        <v>121003-311001</v>
      </c>
    </row>
    <row r="100" customFormat="false" ht="15" hidden="false" customHeight="true" outlineLevel="0" collapsed="false">
      <c r="A100" s="8" t="n">
        <v>121003</v>
      </c>
      <c r="B100" s="8" t="n">
        <v>302019</v>
      </c>
      <c r="C100" s="8" t="s">
        <v>183</v>
      </c>
      <c r="D100" s="8" t="str">
        <f aca="false">A100&amp;"-"&amp;B100</f>
        <v>121003-302019</v>
      </c>
    </row>
    <row r="101" customFormat="false" ht="15" hidden="false" customHeight="true" outlineLevel="0" collapsed="false">
      <c r="A101" s="8" t="n">
        <v>121003</v>
      </c>
      <c r="B101" s="8" t="n">
        <v>302039</v>
      </c>
      <c r="C101" s="8" t="s">
        <v>183</v>
      </c>
      <c r="D101" s="8" t="str">
        <f aca="false">A101&amp;"-"&amp;B101</f>
        <v>121003-302039</v>
      </c>
    </row>
    <row r="102" customFormat="false" ht="15" hidden="false" customHeight="true" outlineLevel="0" collapsed="false">
      <c r="A102" s="8" t="n">
        <v>121003</v>
      </c>
      <c r="B102" s="8" t="n">
        <v>335803</v>
      </c>
      <c r="C102" s="8" t="s">
        <v>183</v>
      </c>
      <c r="D102" s="8" t="str">
        <f aca="false">A102&amp;"-"&amp;B102</f>
        <v>121003-335803</v>
      </c>
    </row>
    <row r="103" customFormat="false" ht="15" hidden="false" customHeight="true" outlineLevel="0" collapsed="false">
      <c r="A103" s="8" t="n">
        <v>121003</v>
      </c>
      <c r="B103" s="8" t="n">
        <v>335001</v>
      </c>
      <c r="C103" s="8" t="s">
        <v>183</v>
      </c>
      <c r="D103" s="8" t="str">
        <f aca="false">A103&amp;"-"&amp;B103</f>
        <v>121003-335001</v>
      </c>
    </row>
    <row r="104" customFormat="false" ht="15" hidden="false" customHeight="true" outlineLevel="0" collapsed="false">
      <c r="A104" s="8" t="n">
        <v>121003</v>
      </c>
      <c r="B104" s="8" t="n">
        <v>175101</v>
      </c>
      <c r="C104" s="8" t="s">
        <v>184</v>
      </c>
      <c r="D104" s="8" t="str">
        <f aca="false">A104&amp;"-"&amp;B104</f>
        <v>121003-175101</v>
      </c>
    </row>
    <row r="105" customFormat="false" ht="15" hidden="false" customHeight="true" outlineLevel="0" collapsed="false">
      <c r="A105" s="8" t="n">
        <v>121003</v>
      </c>
      <c r="B105" s="8" t="n">
        <v>303903</v>
      </c>
      <c r="C105" s="8" t="s">
        <v>183</v>
      </c>
      <c r="D105" s="8" t="str">
        <f aca="false">A105&amp;"-"&amp;B105</f>
        <v>121003-303903</v>
      </c>
    </row>
    <row r="106" customFormat="false" ht="15" hidden="false" customHeight="true" outlineLevel="0" collapsed="false">
      <c r="A106" s="8" t="n">
        <v>121003</v>
      </c>
      <c r="B106" s="8" t="n">
        <v>342012</v>
      </c>
      <c r="C106" s="8" t="s">
        <v>183</v>
      </c>
      <c r="D106" s="8" t="str">
        <f aca="false">A106&amp;"-"&amp;B106</f>
        <v>121003-342012</v>
      </c>
    </row>
    <row r="107" customFormat="false" ht="15" hidden="false" customHeight="true" outlineLevel="0" collapsed="false">
      <c r="A107" s="8" t="n">
        <v>121003</v>
      </c>
      <c r="B107" s="8" t="n">
        <v>334001</v>
      </c>
      <c r="C107" s="8" t="s">
        <v>183</v>
      </c>
      <c r="D107" s="8" t="str">
        <f aca="false">A107&amp;"-"&amp;B107</f>
        <v>121003-334001</v>
      </c>
    </row>
    <row r="108" customFormat="false" ht="15" hidden="false" customHeight="true" outlineLevel="0" collapsed="false">
      <c r="A108" s="8" t="n">
        <v>121003</v>
      </c>
      <c r="B108" s="8" t="n">
        <v>302031</v>
      </c>
      <c r="C108" s="8" t="s">
        <v>183</v>
      </c>
      <c r="D108" s="8" t="str">
        <f aca="false">A108&amp;"-"&amp;B108</f>
        <v>121003-302031</v>
      </c>
    </row>
    <row r="109" customFormat="false" ht="15" hidden="false" customHeight="true" outlineLevel="0" collapsed="false">
      <c r="A109" s="8" t="n">
        <v>121003</v>
      </c>
      <c r="B109" s="8" t="n">
        <v>302012</v>
      </c>
      <c r="C109" s="8" t="s">
        <v>183</v>
      </c>
      <c r="D109" s="8" t="str">
        <f aca="false">A109&amp;"-"&amp;B109</f>
        <v>121003-302012</v>
      </c>
    </row>
    <row r="110" customFormat="false" ht="15" hidden="false" customHeight="true" outlineLevel="0" collapsed="false">
      <c r="A110" s="8" t="n">
        <v>121003</v>
      </c>
      <c r="B110" s="8" t="n">
        <v>342014</v>
      </c>
      <c r="C110" s="8" t="s">
        <v>183</v>
      </c>
      <c r="D110" s="8" t="str">
        <f aca="false">A110&amp;"-"&amp;B110</f>
        <v>121003-342014</v>
      </c>
    </row>
    <row r="111" customFormat="false" ht="15" hidden="false" customHeight="true" outlineLevel="0" collapsed="false">
      <c r="A111" s="8" t="n">
        <v>121003</v>
      </c>
      <c r="B111" s="8" t="n">
        <v>324005</v>
      </c>
      <c r="C111" s="8" t="s">
        <v>183</v>
      </c>
      <c r="D111" s="8" t="str">
        <f aca="false">A111&amp;"-"&amp;B111</f>
        <v>121003-324005</v>
      </c>
    </row>
    <row r="112" customFormat="false" ht="15" hidden="false" customHeight="true" outlineLevel="0" collapsed="false">
      <c r="A112" s="8" t="n">
        <v>121003</v>
      </c>
      <c r="B112" s="8" t="n">
        <v>302001</v>
      </c>
      <c r="C112" s="8" t="s">
        <v>183</v>
      </c>
      <c r="D112" s="8" t="str">
        <f aca="false">A112&amp;"-"&amp;B112</f>
        <v>121003-302001</v>
      </c>
    </row>
    <row r="113" customFormat="false" ht="15" hidden="false" customHeight="true" outlineLevel="0" collapsed="false">
      <c r="A113" s="8" t="n">
        <v>121003</v>
      </c>
      <c r="B113" s="8" t="n">
        <v>302004</v>
      </c>
      <c r="C113" s="8" t="s">
        <v>183</v>
      </c>
      <c r="D113" s="8" t="str">
        <f aca="false">A113&amp;"-"&amp;B113</f>
        <v>121003-302004</v>
      </c>
    </row>
    <row r="114" customFormat="false" ht="15" hidden="false" customHeight="true" outlineLevel="0" collapsed="false">
      <c r="A114" s="8" t="n">
        <v>121003</v>
      </c>
      <c r="B114" s="8" t="n">
        <v>302018</v>
      </c>
      <c r="C114" s="8" t="s">
        <v>183</v>
      </c>
      <c r="D114" s="8" t="str">
        <f aca="false">A114&amp;"-"&amp;B114</f>
        <v>121003-302018</v>
      </c>
    </row>
    <row r="115" customFormat="false" ht="15" hidden="false" customHeight="true" outlineLevel="0" collapsed="false">
      <c r="A115" s="8" t="n">
        <v>121003</v>
      </c>
      <c r="B115" s="8" t="n">
        <v>302017</v>
      </c>
      <c r="C115" s="8" t="s">
        <v>183</v>
      </c>
      <c r="D115" s="8" t="str">
        <f aca="false">A115&amp;"-"&amp;B115</f>
        <v>121003-302017</v>
      </c>
    </row>
    <row r="116" customFormat="false" ht="15" hidden="false" customHeight="true" outlineLevel="0" collapsed="false">
      <c r="A116" s="8" t="n">
        <v>121003</v>
      </c>
      <c r="B116" s="8" t="n">
        <v>324008</v>
      </c>
      <c r="C116" s="8" t="s">
        <v>183</v>
      </c>
      <c r="D116" s="8" t="str">
        <f aca="false">A116&amp;"-"&amp;B116</f>
        <v>121003-324008</v>
      </c>
    </row>
    <row r="117" customFormat="false" ht="15" hidden="false" customHeight="true" outlineLevel="0" collapsed="false">
      <c r="A117" s="8" t="n">
        <v>121003</v>
      </c>
      <c r="B117" s="8" t="n">
        <v>302020</v>
      </c>
      <c r="C117" s="8" t="s">
        <v>183</v>
      </c>
      <c r="D117" s="8" t="str">
        <f aca="false">A117&amp;"-"&amp;B117</f>
        <v>121003-302020</v>
      </c>
    </row>
    <row r="118" customFormat="false" ht="15" hidden="false" customHeight="true" outlineLevel="0" collapsed="false">
      <c r="A118" s="8" t="n">
        <v>121003</v>
      </c>
      <c r="B118" s="8" t="n">
        <v>302018</v>
      </c>
      <c r="C118" s="8" t="s">
        <v>183</v>
      </c>
      <c r="D118" s="8" t="str">
        <f aca="false">A118&amp;"-"&amp;B118</f>
        <v>121003-302018</v>
      </c>
    </row>
    <row r="119" customFormat="false" ht="15" hidden="false" customHeight="true" outlineLevel="0" collapsed="false">
      <c r="A119" s="8" t="n">
        <v>121003</v>
      </c>
      <c r="B119" s="8" t="n">
        <v>302017</v>
      </c>
      <c r="C119" s="8" t="s">
        <v>183</v>
      </c>
      <c r="D119" s="8" t="str">
        <f aca="false">A119&amp;"-"&amp;B119</f>
        <v>121003-302017</v>
      </c>
    </row>
    <row r="120" customFormat="false" ht="15" hidden="false" customHeight="true" outlineLevel="0" collapsed="false">
      <c r="A120" s="8" t="n">
        <v>121003</v>
      </c>
      <c r="B120" s="8" t="n">
        <v>302012</v>
      </c>
      <c r="C120" s="8" t="s">
        <v>183</v>
      </c>
      <c r="D120" s="8" t="str">
        <f aca="false">A120&amp;"-"&amp;B120</f>
        <v>121003-302012</v>
      </c>
    </row>
    <row r="121" customFormat="false" ht="15" hidden="false" customHeight="true" outlineLevel="0" collapsed="false">
      <c r="A121" s="8" t="n">
        <v>121003</v>
      </c>
      <c r="B121" s="8" t="n">
        <v>325207</v>
      </c>
      <c r="C121" s="8" t="s">
        <v>183</v>
      </c>
      <c r="D121" s="8" t="str">
        <f aca="false">A121&amp;"-"&amp;B121</f>
        <v>121003-325207</v>
      </c>
    </row>
    <row r="122" customFormat="false" ht="15" hidden="false" customHeight="true" outlineLevel="0" collapsed="false">
      <c r="A122" s="8" t="n">
        <v>121003</v>
      </c>
      <c r="B122" s="8" t="n">
        <v>303702</v>
      </c>
      <c r="C122" s="8" t="s">
        <v>183</v>
      </c>
      <c r="D122" s="8" t="str">
        <f aca="false">A122&amp;"-"&amp;B122</f>
        <v>121003-303702</v>
      </c>
    </row>
    <row r="123" customFormat="false" ht="15" hidden="false" customHeight="true" outlineLevel="0" collapsed="false">
      <c r="A123" s="8" t="n">
        <v>121003</v>
      </c>
      <c r="B123" s="8" t="n">
        <v>313301</v>
      </c>
      <c r="C123" s="8" t="s">
        <v>183</v>
      </c>
      <c r="D123" s="8" t="str">
        <f aca="false">A123&amp;"-"&amp;B123</f>
        <v>121003-313301</v>
      </c>
    </row>
    <row r="124" customFormat="false" ht="15" hidden="false" customHeight="true" outlineLevel="0" collapsed="false">
      <c r="A124" s="8" t="n">
        <v>121003</v>
      </c>
      <c r="B124" s="8" t="n">
        <v>173212</v>
      </c>
      <c r="C124" s="8" t="s">
        <v>184</v>
      </c>
      <c r="D124" s="8" t="str">
        <f aca="false">A124&amp;"-"&amp;B124</f>
        <v>121003-173212</v>
      </c>
    </row>
    <row r="125" customFormat="false" ht="15" hidden="false" customHeight="true" outlineLevel="0" collapsed="false">
      <c r="A125" s="8" t="n">
        <v>121003</v>
      </c>
      <c r="B125" s="8" t="n">
        <v>302020</v>
      </c>
      <c r="C125" s="8" t="s">
        <v>183</v>
      </c>
      <c r="D125" s="8" t="str">
        <f aca="false">A125&amp;"-"&amp;B125</f>
        <v>121003-302020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15" hidden="false" customHeight="true" outlineLevel="0" collapsed="false">
      <c r="A1" s="7" t="s">
        <v>185</v>
      </c>
      <c r="B1" s="7" t="s">
        <v>27</v>
      </c>
      <c r="C1" s="7" t="s">
        <v>186</v>
      </c>
      <c r="D1" s="7" t="s">
        <v>178</v>
      </c>
      <c r="E1" s="7" t="s">
        <v>179</v>
      </c>
      <c r="F1" s="7" t="s">
        <v>180</v>
      </c>
      <c r="G1" s="7" t="s">
        <v>187</v>
      </c>
      <c r="H1" s="7" t="s">
        <v>188</v>
      </c>
    </row>
    <row r="2" customFormat="false" ht="15" hidden="false" customHeight="true" outlineLevel="0" collapsed="false">
      <c r="A2" s="8" t="s">
        <v>189</v>
      </c>
      <c r="B2" s="8" t="s">
        <v>173</v>
      </c>
      <c r="C2" s="8" t="s">
        <v>190</v>
      </c>
      <c r="D2" s="8" t="n">
        <v>121003</v>
      </c>
      <c r="E2" s="8" t="s">
        <v>191</v>
      </c>
      <c r="F2" s="8" t="s">
        <v>182</v>
      </c>
      <c r="G2" s="8" t="s">
        <v>192</v>
      </c>
      <c r="H2" s="8" t="s">
        <v>193</v>
      </c>
    </row>
    <row r="3" customFormat="false" ht="15" hidden="false" customHeight="true" outlineLevel="0" collapsed="false">
      <c r="A3" s="8" t="s">
        <v>194</v>
      </c>
      <c r="B3" s="8" t="s">
        <v>170</v>
      </c>
      <c r="C3" s="8" t="s">
        <v>195</v>
      </c>
      <c r="D3" s="8" t="n">
        <v>121003</v>
      </c>
      <c r="E3" s="8" t="s">
        <v>196</v>
      </c>
      <c r="F3" s="8" t="s">
        <v>182</v>
      </c>
      <c r="G3" s="8" t="s">
        <v>192</v>
      </c>
      <c r="H3" s="8" t="s">
        <v>197</v>
      </c>
    </row>
    <row r="4" customFormat="false" ht="15" hidden="false" customHeight="true" outlineLevel="0" collapsed="false">
      <c r="A4" s="8" t="s">
        <v>198</v>
      </c>
      <c r="B4" s="8" t="s">
        <v>167</v>
      </c>
      <c r="C4" s="8" t="s">
        <v>199</v>
      </c>
      <c r="D4" s="8" t="n">
        <v>121003</v>
      </c>
      <c r="E4" s="8" t="s">
        <v>200</v>
      </c>
      <c r="F4" s="8" t="s">
        <v>182</v>
      </c>
      <c r="G4" s="8" t="s">
        <v>192</v>
      </c>
      <c r="H4" s="8" t="s">
        <v>201</v>
      </c>
    </row>
    <row r="5" customFormat="false" ht="15" hidden="false" customHeight="true" outlineLevel="0" collapsed="false">
      <c r="A5" s="8" t="s">
        <v>202</v>
      </c>
      <c r="B5" s="8" t="s">
        <v>165</v>
      </c>
      <c r="C5" s="8" t="s">
        <v>195</v>
      </c>
      <c r="D5" s="8" t="n">
        <v>121003</v>
      </c>
      <c r="E5" s="8" t="s">
        <v>203</v>
      </c>
      <c r="F5" s="8" t="s">
        <v>183</v>
      </c>
      <c r="G5" s="8" t="s">
        <v>192</v>
      </c>
      <c r="H5" s="8" t="s">
        <v>204</v>
      </c>
    </row>
    <row r="6" customFormat="false" ht="15" hidden="false" customHeight="true" outlineLevel="0" collapsed="false">
      <c r="A6" s="8" t="s">
        <v>205</v>
      </c>
      <c r="B6" s="8" t="s">
        <v>145</v>
      </c>
      <c r="C6" s="8" t="s">
        <v>206</v>
      </c>
      <c r="D6" s="8" t="n">
        <v>121003</v>
      </c>
      <c r="E6" s="8" t="s">
        <v>207</v>
      </c>
      <c r="F6" s="8" t="s">
        <v>182</v>
      </c>
      <c r="G6" s="8" t="s">
        <v>192</v>
      </c>
      <c r="H6" s="8" t="s">
        <v>208</v>
      </c>
    </row>
    <row r="7" customFormat="false" ht="15" hidden="false" customHeight="true" outlineLevel="0" collapsed="false">
      <c r="A7" s="8" t="s">
        <v>209</v>
      </c>
      <c r="B7" s="8" t="s">
        <v>157</v>
      </c>
      <c r="C7" s="8" t="s">
        <v>206</v>
      </c>
      <c r="D7" s="8" t="n">
        <v>121003</v>
      </c>
      <c r="E7" s="8" t="s">
        <v>210</v>
      </c>
      <c r="F7" s="8" t="s">
        <v>182</v>
      </c>
      <c r="G7" s="8" t="s">
        <v>192</v>
      </c>
      <c r="H7" s="8" t="s">
        <v>208</v>
      </c>
    </row>
    <row r="8" customFormat="false" ht="15" hidden="false" customHeight="true" outlineLevel="0" collapsed="false">
      <c r="A8" s="8" t="s">
        <v>211</v>
      </c>
      <c r="B8" s="8" t="s">
        <v>148</v>
      </c>
      <c r="C8" s="8" t="s">
        <v>195</v>
      </c>
      <c r="D8" s="8" t="n">
        <v>121003</v>
      </c>
      <c r="E8" s="8" t="s">
        <v>212</v>
      </c>
      <c r="F8" s="8" t="s">
        <v>183</v>
      </c>
      <c r="G8" s="8" t="s">
        <v>192</v>
      </c>
      <c r="H8" s="8" t="s">
        <v>204</v>
      </c>
    </row>
    <row r="9" customFormat="false" ht="15" hidden="false" customHeight="true" outlineLevel="0" collapsed="false">
      <c r="A9" s="8" t="s">
        <v>213</v>
      </c>
      <c r="B9" s="8" t="s">
        <v>143</v>
      </c>
      <c r="C9" s="8" t="s">
        <v>214</v>
      </c>
      <c r="D9" s="8" t="n">
        <v>121003</v>
      </c>
      <c r="E9" s="8" t="s">
        <v>215</v>
      </c>
      <c r="F9" s="8" t="s">
        <v>183</v>
      </c>
      <c r="G9" s="8" t="s">
        <v>192</v>
      </c>
      <c r="H9" s="8" t="s">
        <v>216</v>
      </c>
    </row>
    <row r="10" customFormat="false" ht="15" hidden="false" customHeight="true" outlineLevel="0" collapsed="false">
      <c r="A10" s="8" t="s">
        <v>217</v>
      </c>
      <c r="B10" s="8" t="s">
        <v>141</v>
      </c>
      <c r="C10" s="8" t="s">
        <v>218</v>
      </c>
      <c r="D10" s="8" t="n">
        <v>121003</v>
      </c>
      <c r="E10" s="8" t="s">
        <v>219</v>
      </c>
      <c r="F10" s="8" t="s">
        <v>182</v>
      </c>
      <c r="G10" s="8" t="s">
        <v>192</v>
      </c>
      <c r="H10" s="8" t="s">
        <v>208</v>
      </c>
    </row>
    <row r="11" customFormat="false" ht="15" hidden="false" customHeight="true" outlineLevel="0" collapsed="false">
      <c r="A11" s="8" t="s">
        <v>220</v>
      </c>
      <c r="B11" s="8" t="s">
        <v>139</v>
      </c>
      <c r="C11" s="8" t="s">
        <v>218</v>
      </c>
      <c r="D11" s="8" t="n">
        <v>121003</v>
      </c>
      <c r="E11" s="8" t="s">
        <v>221</v>
      </c>
      <c r="F11" s="8" t="s">
        <v>182</v>
      </c>
      <c r="G11" s="8" t="s">
        <v>192</v>
      </c>
      <c r="H11" s="8" t="s">
        <v>208</v>
      </c>
    </row>
    <row r="12" customFormat="false" ht="15" hidden="false" customHeight="true" outlineLevel="0" collapsed="false">
      <c r="A12" s="8" t="s">
        <v>222</v>
      </c>
      <c r="B12" s="8" t="s">
        <v>131</v>
      </c>
      <c r="C12" s="8" t="s">
        <v>223</v>
      </c>
      <c r="D12" s="8" t="n">
        <v>121003</v>
      </c>
      <c r="E12" s="8" t="s">
        <v>224</v>
      </c>
      <c r="F12" s="8" t="s">
        <v>183</v>
      </c>
      <c r="G12" s="8" t="s">
        <v>192</v>
      </c>
      <c r="H12" s="8" t="s">
        <v>204</v>
      </c>
    </row>
    <row r="13" customFormat="false" ht="15" hidden="false" customHeight="true" outlineLevel="0" collapsed="false">
      <c r="A13" s="8" t="s">
        <v>225</v>
      </c>
      <c r="B13" s="8" t="s">
        <v>128</v>
      </c>
      <c r="C13" s="8" t="s">
        <v>226</v>
      </c>
      <c r="D13" s="8" t="n">
        <v>121003</v>
      </c>
      <c r="E13" s="8" t="s">
        <v>227</v>
      </c>
      <c r="F13" s="8" t="s">
        <v>182</v>
      </c>
      <c r="G13" s="8" t="s">
        <v>192</v>
      </c>
      <c r="H13" s="8" t="s">
        <v>197</v>
      </c>
    </row>
    <row r="14" customFormat="false" ht="15" hidden="false" customHeight="true" outlineLevel="0" collapsed="false">
      <c r="A14" s="8" t="s">
        <v>228</v>
      </c>
      <c r="B14" s="8" t="s">
        <v>127</v>
      </c>
      <c r="C14" s="8" t="s">
        <v>229</v>
      </c>
      <c r="D14" s="8" t="n">
        <v>121003</v>
      </c>
      <c r="E14" s="8" t="s">
        <v>230</v>
      </c>
      <c r="F14" s="8" t="s">
        <v>183</v>
      </c>
      <c r="G14" s="8" t="s">
        <v>192</v>
      </c>
      <c r="H14" s="8" t="s">
        <v>216</v>
      </c>
    </row>
    <row r="15" customFormat="false" ht="15" hidden="false" customHeight="true" outlineLevel="0" collapsed="false">
      <c r="A15" s="8" t="s">
        <v>231</v>
      </c>
      <c r="B15" s="8" t="s">
        <v>126</v>
      </c>
      <c r="C15" s="8" t="s">
        <v>195</v>
      </c>
      <c r="D15" s="8" t="n">
        <v>121003</v>
      </c>
      <c r="E15" s="8" t="s">
        <v>232</v>
      </c>
      <c r="F15" s="8" t="s">
        <v>182</v>
      </c>
      <c r="G15" s="8" t="s">
        <v>192</v>
      </c>
      <c r="H15" s="8" t="s">
        <v>197</v>
      </c>
    </row>
    <row r="16" customFormat="false" ht="15" hidden="false" customHeight="true" outlineLevel="0" collapsed="false">
      <c r="A16" s="8" t="s">
        <v>233</v>
      </c>
      <c r="B16" s="8" t="s">
        <v>129</v>
      </c>
      <c r="C16" s="8" t="s">
        <v>206</v>
      </c>
      <c r="D16" s="8" t="n">
        <v>121003</v>
      </c>
      <c r="E16" s="8" t="s">
        <v>234</v>
      </c>
      <c r="F16" s="8" t="s">
        <v>182</v>
      </c>
      <c r="G16" s="8" t="s">
        <v>192</v>
      </c>
      <c r="H16" s="8" t="s">
        <v>208</v>
      </c>
    </row>
    <row r="17" customFormat="false" ht="15" hidden="false" customHeight="true" outlineLevel="0" collapsed="false">
      <c r="A17" s="8" t="s">
        <v>235</v>
      </c>
      <c r="B17" s="8" t="s">
        <v>122</v>
      </c>
      <c r="C17" s="8" t="s">
        <v>236</v>
      </c>
      <c r="D17" s="8" t="n">
        <v>121003</v>
      </c>
      <c r="E17" s="8" t="s">
        <v>237</v>
      </c>
      <c r="F17" s="8" t="s">
        <v>182</v>
      </c>
      <c r="G17" s="8" t="s">
        <v>192</v>
      </c>
      <c r="H17" s="8" t="s">
        <v>193</v>
      </c>
    </row>
    <row r="18" customFormat="false" ht="15" hidden="false" customHeight="true" outlineLevel="0" collapsed="false">
      <c r="A18" s="8" t="s">
        <v>238</v>
      </c>
      <c r="B18" s="8" t="s">
        <v>121</v>
      </c>
      <c r="C18" s="8" t="s">
        <v>218</v>
      </c>
      <c r="D18" s="8" t="n">
        <v>121003</v>
      </c>
      <c r="E18" s="8" t="s">
        <v>215</v>
      </c>
      <c r="F18" s="8" t="s">
        <v>183</v>
      </c>
      <c r="G18" s="8" t="s">
        <v>192</v>
      </c>
      <c r="H18" s="8" t="s">
        <v>239</v>
      </c>
    </row>
    <row r="19" customFormat="false" ht="15" hidden="false" customHeight="true" outlineLevel="0" collapsed="false">
      <c r="A19" s="8" t="s">
        <v>240</v>
      </c>
      <c r="B19" s="8" t="s">
        <v>120</v>
      </c>
      <c r="C19" s="8" t="s">
        <v>223</v>
      </c>
      <c r="D19" s="8" t="n">
        <v>121003</v>
      </c>
      <c r="E19" s="8" t="s">
        <v>241</v>
      </c>
      <c r="F19" s="8" t="s">
        <v>182</v>
      </c>
      <c r="G19" s="8" t="s">
        <v>192</v>
      </c>
      <c r="H19" s="8" t="s">
        <v>197</v>
      </c>
    </row>
    <row r="20" customFormat="false" ht="15" hidden="false" customHeight="true" outlineLevel="0" collapsed="false">
      <c r="A20" s="8" t="s">
        <v>242</v>
      </c>
      <c r="B20" s="8" t="s">
        <v>118</v>
      </c>
      <c r="C20" s="8" t="s">
        <v>243</v>
      </c>
      <c r="D20" s="8" t="n">
        <v>121003</v>
      </c>
      <c r="E20" s="8" t="s">
        <v>244</v>
      </c>
      <c r="F20" s="8" t="s">
        <v>184</v>
      </c>
      <c r="G20" s="8" t="s">
        <v>245</v>
      </c>
      <c r="H20" s="8" t="s">
        <v>246</v>
      </c>
    </row>
    <row r="21" customFormat="false" ht="15" hidden="false" customHeight="true" outlineLevel="0" collapsed="false">
      <c r="A21" s="8" t="s">
        <v>247</v>
      </c>
      <c r="B21" s="8" t="s">
        <v>116</v>
      </c>
      <c r="C21" s="8" t="s">
        <v>223</v>
      </c>
      <c r="D21" s="8" t="n">
        <v>121003</v>
      </c>
      <c r="E21" s="8" t="s">
        <v>248</v>
      </c>
      <c r="F21" s="8" t="s">
        <v>183</v>
      </c>
      <c r="G21" s="8" t="s">
        <v>192</v>
      </c>
      <c r="H21" s="8" t="s">
        <v>204</v>
      </c>
    </row>
    <row r="22" customFormat="false" ht="15" hidden="false" customHeight="true" outlineLevel="0" collapsed="false">
      <c r="A22" s="8" t="s">
        <v>249</v>
      </c>
      <c r="B22" s="8" t="s">
        <v>115</v>
      </c>
      <c r="C22" s="8" t="s">
        <v>250</v>
      </c>
      <c r="D22" s="8" t="n">
        <v>121003</v>
      </c>
      <c r="E22" s="8" t="s">
        <v>251</v>
      </c>
      <c r="F22" s="8" t="s">
        <v>182</v>
      </c>
      <c r="G22" s="8" t="s">
        <v>192</v>
      </c>
      <c r="H22" s="8" t="s">
        <v>197</v>
      </c>
    </row>
    <row r="23" customFormat="false" ht="15" hidden="false" customHeight="true" outlineLevel="0" collapsed="false">
      <c r="A23" s="8" t="s">
        <v>252</v>
      </c>
      <c r="B23" s="8" t="s">
        <v>112</v>
      </c>
      <c r="C23" s="8" t="s">
        <v>253</v>
      </c>
      <c r="D23" s="8" t="n">
        <v>121003</v>
      </c>
      <c r="E23" s="8" t="s">
        <v>254</v>
      </c>
      <c r="F23" s="8" t="s">
        <v>183</v>
      </c>
      <c r="G23" s="8" t="s">
        <v>192</v>
      </c>
      <c r="H23" s="8" t="s">
        <v>216</v>
      </c>
    </row>
    <row r="24" customFormat="false" ht="15" hidden="false" customHeight="true" outlineLevel="0" collapsed="false">
      <c r="A24" s="8" t="s">
        <v>255</v>
      </c>
      <c r="B24" s="8" t="s">
        <v>124</v>
      </c>
      <c r="C24" s="8" t="s">
        <v>256</v>
      </c>
      <c r="D24" s="8" t="n">
        <v>121003</v>
      </c>
      <c r="E24" s="8" t="s">
        <v>257</v>
      </c>
      <c r="F24" s="8" t="s">
        <v>182</v>
      </c>
      <c r="G24" s="8" t="s">
        <v>245</v>
      </c>
      <c r="H24" s="8" t="s">
        <v>258</v>
      </c>
    </row>
    <row r="25" customFormat="false" ht="15" hidden="false" customHeight="true" outlineLevel="0" collapsed="false">
      <c r="A25" s="8" t="s">
        <v>259</v>
      </c>
      <c r="B25" s="8" t="s">
        <v>77</v>
      </c>
      <c r="C25" s="8" t="s">
        <v>260</v>
      </c>
      <c r="D25" s="8" t="n">
        <v>121003</v>
      </c>
      <c r="E25" s="8" t="s">
        <v>261</v>
      </c>
      <c r="F25" s="8" t="s">
        <v>183</v>
      </c>
      <c r="G25" s="8" t="s">
        <v>245</v>
      </c>
      <c r="H25" s="8" t="s">
        <v>262</v>
      </c>
    </row>
    <row r="26" customFormat="false" ht="15" hidden="false" customHeight="true" outlineLevel="0" collapsed="false">
      <c r="A26" s="8" t="s">
        <v>263</v>
      </c>
      <c r="B26" s="8" t="s">
        <v>69</v>
      </c>
      <c r="C26" s="8" t="s">
        <v>264</v>
      </c>
      <c r="D26" s="8" t="n">
        <v>121003</v>
      </c>
      <c r="E26" s="8" t="s">
        <v>265</v>
      </c>
      <c r="F26" s="8" t="s">
        <v>182</v>
      </c>
      <c r="G26" s="8" t="s">
        <v>245</v>
      </c>
      <c r="H26" s="8" t="s">
        <v>258</v>
      </c>
    </row>
    <row r="27" customFormat="false" ht="15" hidden="false" customHeight="true" outlineLevel="0" collapsed="false">
      <c r="A27" s="8" t="s">
        <v>266</v>
      </c>
      <c r="B27" s="8" t="s">
        <v>66</v>
      </c>
      <c r="C27" s="8" t="s">
        <v>256</v>
      </c>
      <c r="D27" s="8" t="n">
        <v>121003</v>
      </c>
      <c r="E27" s="8" t="s">
        <v>267</v>
      </c>
      <c r="F27" s="8" t="s">
        <v>182</v>
      </c>
      <c r="G27" s="8" t="s">
        <v>245</v>
      </c>
      <c r="H27" s="8" t="s">
        <v>258</v>
      </c>
    </row>
    <row r="28" customFormat="false" ht="15" hidden="false" customHeight="true" outlineLevel="0" collapsed="false">
      <c r="A28" s="8" t="s">
        <v>268</v>
      </c>
      <c r="B28" s="8" t="s">
        <v>65</v>
      </c>
      <c r="C28" s="8" t="s">
        <v>269</v>
      </c>
      <c r="D28" s="8" t="n">
        <v>121003</v>
      </c>
      <c r="E28" s="8" t="s">
        <v>270</v>
      </c>
      <c r="F28" s="8" t="s">
        <v>184</v>
      </c>
      <c r="G28" s="8" t="s">
        <v>245</v>
      </c>
      <c r="H28" s="8" t="s">
        <v>271</v>
      </c>
    </row>
    <row r="29" customFormat="false" ht="15" hidden="false" customHeight="true" outlineLevel="0" collapsed="false">
      <c r="A29" s="8" t="s">
        <v>272</v>
      </c>
      <c r="B29" s="8" t="s">
        <v>60</v>
      </c>
      <c r="C29" s="8" t="s">
        <v>253</v>
      </c>
      <c r="D29" s="8" t="n">
        <v>121003</v>
      </c>
      <c r="E29" s="8" t="s">
        <v>273</v>
      </c>
      <c r="F29" s="8" t="s">
        <v>182</v>
      </c>
      <c r="G29" s="8" t="s">
        <v>245</v>
      </c>
      <c r="H29" s="8" t="s">
        <v>274</v>
      </c>
    </row>
    <row r="30" customFormat="false" ht="15" hidden="false" customHeight="true" outlineLevel="0" collapsed="false">
      <c r="A30" s="8" t="s">
        <v>275</v>
      </c>
      <c r="B30" s="8" t="s">
        <v>67</v>
      </c>
      <c r="C30" s="8" t="s">
        <v>190</v>
      </c>
      <c r="D30" s="8" t="n">
        <v>121003</v>
      </c>
      <c r="E30" s="8" t="s">
        <v>276</v>
      </c>
      <c r="F30" s="8" t="s">
        <v>183</v>
      </c>
      <c r="G30" s="8" t="s">
        <v>245</v>
      </c>
      <c r="H30" s="8" t="s">
        <v>277</v>
      </c>
    </row>
    <row r="31" customFormat="false" ht="15" hidden="false" customHeight="true" outlineLevel="0" collapsed="false">
      <c r="A31" s="8" t="s">
        <v>278</v>
      </c>
      <c r="B31" s="8" t="s">
        <v>50</v>
      </c>
      <c r="C31" s="8" t="s">
        <v>256</v>
      </c>
      <c r="D31" s="8" t="n">
        <v>121003</v>
      </c>
      <c r="E31" s="8" t="s">
        <v>279</v>
      </c>
      <c r="F31" s="8" t="s">
        <v>182</v>
      </c>
      <c r="G31" s="8" t="s">
        <v>245</v>
      </c>
      <c r="H31" s="8" t="s">
        <v>258</v>
      </c>
    </row>
    <row r="32" customFormat="false" ht="15" hidden="false" customHeight="true" outlineLevel="0" collapsed="false">
      <c r="A32" s="8" t="s">
        <v>280</v>
      </c>
      <c r="B32" s="8" t="s">
        <v>47</v>
      </c>
      <c r="C32" s="8" t="s">
        <v>281</v>
      </c>
      <c r="D32" s="8" t="n">
        <v>121003</v>
      </c>
      <c r="E32" s="8" t="s">
        <v>282</v>
      </c>
      <c r="F32" s="8" t="s">
        <v>182</v>
      </c>
      <c r="G32" s="8" t="s">
        <v>245</v>
      </c>
      <c r="H32" s="8" t="s">
        <v>283</v>
      </c>
    </row>
    <row r="33" customFormat="false" ht="15" hidden="false" customHeight="true" outlineLevel="0" collapsed="false">
      <c r="A33" s="8" t="s">
        <v>284</v>
      </c>
      <c r="B33" s="8" t="s">
        <v>88</v>
      </c>
      <c r="C33" s="8" t="s">
        <v>285</v>
      </c>
      <c r="D33" s="8" t="n">
        <v>121003</v>
      </c>
      <c r="E33" s="8" t="s">
        <v>286</v>
      </c>
      <c r="F33" s="8" t="s">
        <v>182</v>
      </c>
      <c r="G33" s="8" t="s">
        <v>245</v>
      </c>
      <c r="H33" s="8" t="s">
        <v>274</v>
      </c>
    </row>
    <row r="34" customFormat="false" ht="15" hidden="false" customHeight="true" outlineLevel="0" collapsed="false">
      <c r="A34" s="8" t="s">
        <v>287</v>
      </c>
      <c r="B34" s="8" t="s">
        <v>98</v>
      </c>
      <c r="C34" s="8" t="s">
        <v>260</v>
      </c>
      <c r="D34" s="8" t="n">
        <v>121003</v>
      </c>
      <c r="E34" s="8" t="s">
        <v>288</v>
      </c>
      <c r="F34" s="8" t="s">
        <v>182</v>
      </c>
      <c r="G34" s="8" t="s">
        <v>245</v>
      </c>
      <c r="H34" s="8" t="s">
        <v>258</v>
      </c>
    </row>
    <row r="35" customFormat="false" ht="15" hidden="false" customHeight="true" outlineLevel="0" collapsed="false">
      <c r="A35" s="8" t="s">
        <v>289</v>
      </c>
      <c r="B35" s="8" t="s">
        <v>176</v>
      </c>
      <c r="C35" s="8" t="s">
        <v>290</v>
      </c>
      <c r="D35" s="8" t="n">
        <v>121003</v>
      </c>
      <c r="E35" s="8" t="s">
        <v>291</v>
      </c>
      <c r="F35" s="8" t="s">
        <v>183</v>
      </c>
      <c r="G35" s="8" t="s">
        <v>192</v>
      </c>
      <c r="H35" s="8" t="s">
        <v>292</v>
      </c>
    </row>
    <row r="36" customFormat="false" ht="15" hidden="false" customHeight="true" outlineLevel="0" collapsed="false">
      <c r="A36" s="8" t="s">
        <v>293</v>
      </c>
      <c r="B36" s="8" t="s">
        <v>175</v>
      </c>
      <c r="C36" s="8" t="s">
        <v>294</v>
      </c>
      <c r="D36" s="8" t="n">
        <v>121003</v>
      </c>
      <c r="E36" s="8" t="s">
        <v>295</v>
      </c>
      <c r="F36" s="8" t="s">
        <v>182</v>
      </c>
      <c r="G36" s="8" t="s">
        <v>192</v>
      </c>
      <c r="H36" s="8" t="s">
        <v>197</v>
      </c>
    </row>
    <row r="37" customFormat="false" ht="15" hidden="false" customHeight="true" outlineLevel="0" collapsed="false">
      <c r="A37" s="8" t="s">
        <v>296</v>
      </c>
      <c r="B37" s="8" t="s">
        <v>174</v>
      </c>
      <c r="C37" s="8" t="s">
        <v>297</v>
      </c>
      <c r="D37" s="8" t="n">
        <v>121003</v>
      </c>
      <c r="E37" s="8" t="s">
        <v>298</v>
      </c>
      <c r="F37" s="8" t="s">
        <v>182</v>
      </c>
      <c r="G37" s="8" t="s">
        <v>192</v>
      </c>
      <c r="H37" s="8" t="s">
        <v>197</v>
      </c>
    </row>
    <row r="38" customFormat="false" ht="15" hidden="false" customHeight="true" outlineLevel="0" collapsed="false">
      <c r="A38" s="8" t="s">
        <v>299</v>
      </c>
      <c r="B38" s="8" t="s">
        <v>172</v>
      </c>
      <c r="C38" s="8" t="s">
        <v>300</v>
      </c>
      <c r="D38" s="8" t="n">
        <v>121003</v>
      </c>
      <c r="E38" s="8" t="s">
        <v>301</v>
      </c>
      <c r="F38" s="8" t="s">
        <v>183</v>
      </c>
      <c r="G38" s="8" t="s">
        <v>192</v>
      </c>
      <c r="H38" s="8" t="s">
        <v>204</v>
      </c>
    </row>
    <row r="39" customFormat="false" ht="15" hidden="false" customHeight="true" outlineLevel="0" collapsed="false">
      <c r="A39" s="8" t="s">
        <v>302</v>
      </c>
      <c r="B39" s="8" t="s">
        <v>171</v>
      </c>
      <c r="C39" s="8" t="s">
        <v>303</v>
      </c>
      <c r="D39" s="8" t="n">
        <v>121003</v>
      </c>
      <c r="E39" s="8" t="s">
        <v>304</v>
      </c>
      <c r="F39" s="8" t="s">
        <v>182</v>
      </c>
      <c r="G39" s="8" t="s">
        <v>192</v>
      </c>
      <c r="H39" s="8" t="s">
        <v>193</v>
      </c>
    </row>
    <row r="40" customFormat="false" ht="15" hidden="false" customHeight="true" outlineLevel="0" collapsed="false">
      <c r="A40" s="8" t="s">
        <v>305</v>
      </c>
      <c r="B40" s="8" t="s">
        <v>168</v>
      </c>
      <c r="C40" s="8" t="s">
        <v>256</v>
      </c>
      <c r="D40" s="8" t="n">
        <v>121003</v>
      </c>
      <c r="E40" s="8" t="s">
        <v>306</v>
      </c>
      <c r="F40" s="8" t="s">
        <v>182</v>
      </c>
      <c r="G40" s="8" t="s">
        <v>192</v>
      </c>
      <c r="H40" s="8" t="s">
        <v>197</v>
      </c>
    </row>
    <row r="41" customFormat="false" ht="15" hidden="false" customHeight="true" outlineLevel="0" collapsed="false">
      <c r="A41" s="8" t="s">
        <v>307</v>
      </c>
      <c r="B41" s="8" t="s">
        <v>166</v>
      </c>
      <c r="C41" s="8" t="s">
        <v>308</v>
      </c>
      <c r="D41" s="8" t="n">
        <v>121003</v>
      </c>
      <c r="E41" s="8" t="s">
        <v>309</v>
      </c>
      <c r="F41" s="8" t="s">
        <v>182</v>
      </c>
      <c r="G41" s="8" t="s">
        <v>192</v>
      </c>
      <c r="H41" s="8" t="s">
        <v>197</v>
      </c>
    </row>
    <row r="42" customFormat="false" ht="15" hidden="false" customHeight="true" outlineLevel="0" collapsed="false">
      <c r="A42" s="8" t="s">
        <v>310</v>
      </c>
      <c r="B42" s="8" t="s">
        <v>163</v>
      </c>
      <c r="C42" s="8" t="s">
        <v>294</v>
      </c>
      <c r="D42" s="8" t="n">
        <v>121003</v>
      </c>
      <c r="E42" s="8" t="s">
        <v>311</v>
      </c>
      <c r="F42" s="8" t="s">
        <v>182</v>
      </c>
      <c r="G42" s="8" t="s">
        <v>192</v>
      </c>
      <c r="H42" s="8" t="s">
        <v>197</v>
      </c>
    </row>
    <row r="43" customFormat="false" ht="15" hidden="false" customHeight="true" outlineLevel="0" collapsed="false">
      <c r="A43" s="8" t="s">
        <v>312</v>
      </c>
      <c r="B43" s="8" t="s">
        <v>162</v>
      </c>
      <c r="C43" s="8" t="s">
        <v>195</v>
      </c>
      <c r="D43" s="8" t="n">
        <v>121003</v>
      </c>
      <c r="E43" s="8" t="s">
        <v>313</v>
      </c>
      <c r="F43" s="8" t="s">
        <v>183</v>
      </c>
      <c r="G43" s="8" t="s">
        <v>192</v>
      </c>
      <c r="H43" s="8" t="s">
        <v>204</v>
      </c>
    </row>
    <row r="44" customFormat="false" ht="15" hidden="false" customHeight="true" outlineLevel="0" collapsed="false">
      <c r="A44" s="8" t="s">
        <v>314</v>
      </c>
      <c r="B44" s="8" t="s">
        <v>161</v>
      </c>
      <c r="C44" s="8" t="s">
        <v>315</v>
      </c>
      <c r="D44" s="8" t="n">
        <v>121003</v>
      </c>
      <c r="E44" s="8" t="s">
        <v>316</v>
      </c>
      <c r="F44" s="8" t="s">
        <v>182</v>
      </c>
      <c r="G44" s="8" t="s">
        <v>192</v>
      </c>
      <c r="H44" s="8" t="s">
        <v>193</v>
      </c>
    </row>
    <row r="45" customFormat="false" ht="15" hidden="false" customHeight="true" outlineLevel="0" collapsed="false">
      <c r="A45" s="8" t="s">
        <v>317</v>
      </c>
      <c r="B45" s="8" t="s">
        <v>160</v>
      </c>
      <c r="C45" s="8" t="s">
        <v>294</v>
      </c>
      <c r="D45" s="8" t="n">
        <v>121003</v>
      </c>
      <c r="E45" s="8" t="s">
        <v>318</v>
      </c>
      <c r="F45" s="8" t="s">
        <v>183</v>
      </c>
      <c r="G45" s="8" t="s">
        <v>192</v>
      </c>
      <c r="H45" s="8" t="s">
        <v>204</v>
      </c>
    </row>
    <row r="46" customFormat="false" ht="15" hidden="false" customHeight="true" outlineLevel="0" collapsed="false">
      <c r="A46" s="8" t="s">
        <v>319</v>
      </c>
      <c r="B46" s="8" t="s">
        <v>159</v>
      </c>
      <c r="C46" s="8" t="s">
        <v>229</v>
      </c>
      <c r="D46" s="8" t="n">
        <v>121003</v>
      </c>
      <c r="E46" s="8" t="s">
        <v>320</v>
      </c>
      <c r="F46" s="8" t="s">
        <v>183</v>
      </c>
      <c r="G46" s="8" t="s">
        <v>192</v>
      </c>
      <c r="H46" s="8" t="s">
        <v>216</v>
      </c>
    </row>
    <row r="47" customFormat="false" ht="15" hidden="false" customHeight="true" outlineLevel="0" collapsed="false">
      <c r="A47" s="8" t="s">
        <v>321</v>
      </c>
      <c r="B47" s="8" t="s">
        <v>158</v>
      </c>
      <c r="C47" s="8" t="s">
        <v>308</v>
      </c>
      <c r="D47" s="8" t="n">
        <v>121003</v>
      </c>
      <c r="E47" s="8" t="s">
        <v>322</v>
      </c>
      <c r="F47" s="8" t="s">
        <v>182</v>
      </c>
      <c r="G47" s="8" t="s">
        <v>192</v>
      </c>
      <c r="H47" s="8" t="s">
        <v>197</v>
      </c>
    </row>
    <row r="48" customFormat="false" ht="15" hidden="false" customHeight="true" outlineLevel="0" collapsed="false">
      <c r="A48" s="8" t="s">
        <v>323</v>
      </c>
      <c r="B48" s="8" t="s">
        <v>155</v>
      </c>
      <c r="C48" s="8" t="s">
        <v>285</v>
      </c>
      <c r="D48" s="8" t="n">
        <v>121003</v>
      </c>
      <c r="E48" s="8" t="s">
        <v>324</v>
      </c>
      <c r="F48" s="8" t="s">
        <v>182</v>
      </c>
      <c r="G48" s="8" t="s">
        <v>192</v>
      </c>
      <c r="H48" s="8" t="s">
        <v>193</v>
      </c>
    </row>
    <row r="49" customFormat="false" ht="15" hidden="false" customHeight="true" outlineLevel="0" collapsed="false">
      <c r="A49" s="8" t="s">
        <v>325</v>
      </c>
      <c r="B49" s="8" t="s">
        <v>154</v>
      </c>
      <c r="C49" s="8" t="s">
        <v>308</v>
      </c>
      <c r="D49" s="8" t="n">
        <v>121003</v>
      </c>
      <c r="E49" s="8" t="s">
        <v>326</v>
      </c>
      <c r="F49" s="8" t="s">
        <v>182</v>
      </c>
      <c r="G49" s="8" t="s">
        <v>192</v>
      </c>
      <c r="H49" s="8" t="s">
        <v>197</v>
      </c>
    </row>
    <row r="50" customFormat="false" ht="15" hidden="false" customHeight="true" outlineLevel="0" collapsed="false">
      <c r="A50" s="8" t="s">
        <v>327</v>
      </c>
      <c r="B50" s="8" t="s">
        <v>156</v>
      </c>
      <c r="C50" s="8" t="s">
        <v>294</v>
      </c>
      <c r="D50" s="8" t="n">
        <v>121003</v>
      </c>
      <c r="E50" s="8" t="s">
        <v>328</v>
      </c>
      <c r="F50" s="8" t="s">
        <v>182</v>
      </c>
      <c r="G50" s="8" t="s">
        <v>192</v>
      </c>
      <c r="H50" s="8" t="s">
        <v>197</v>
      </c>
    </row>
    <row r="51" customFormat="false" ht="15" hidden="false" customHeight="true" outlineLevel="0" collapsed="false">
      <c r="A51" s="8" t="s">
        <v>329</v>
      </c>
      <c r="B51" s="8" t="s">
        <v>152</v>
      </c>
      <c r="C51" s="8" t="s">
        <v>330</v>
      </c>
      <c r="D51" s="8" t="n">
        <v>121003</v>
      </c>
      <c r="E51" s="8" t="s">
        <v>331</v>
      </c>
      <c r="F51" s="8" t="s">
        <v>183</v>
      </c>
      <c r="G51" s="8" t="s">
        <v>192</v>
      </c>
      <c r="H51" s="8" t="s">
        <v>292</v>
      </c>
    </row>
    <row r="52" customFormat="false" ht="15" hidden="false" customHeight="true" outlineLevel="0" collapsed="false">
      <c r="A52" s="8" t="s">
        <v>332</v>
      </c>
      <c r="B52" s="8" t="s">
        <v>151</v>
      </c>
      <c r="C52" s="8" t="s">
        <v>333</v>
      </c>
      <c r="D52" s="8" t="n">
        <v>121003</v>
      </c>
      <c r="E52" s="8" t="s">
        <v>318</v>
      </c>
      <c r="F52" s="8" t="s">
        <v>183</v>
      </c>
      <c r="G52" s="8" t="s">
        <v>192</v>
      </c>
      <c r="H52" s="8" t="s">
        <v>216</v>
      </c>
    </row>
    <row r="53" customFormat="false" ht="15" hidden="false" customHeight="true" outlineLevel="0" collapsed="false">
      <c r="A53" s="8" t="s">
        <v>334</v>
      </c>
      <c r="B53" s="8" t="s">
        <v>146</v>
      </c>
      <c r="C53" s="8" t="s">
        <v>294</v>
      </c>
      <c r="D53" s="8" t="n">
        <v>121003</v>
      </c>
      <c r="E53" s="8" t="s">
        <v>335</v>
      </c>
      <c r="F53" s="8" t="s">
        <v>182</v>
      </c>
      <c r="G53" s="8" t="s">
        <v>192</v>
      </c>
      <c r="H53" s="8" t="s">
        <v>197</v>
      </c>
    </row>
    <row r="54" customFormat="false" ht="15" hidden="false" customHeight="true" outlineLevel="0" collapsed="false">
      <c r="A54" s="8" t="s">
        <v>336</v>
      </c>
      <c r="B54" s="8" t="s">
        <v>144</v>
      </c>
      <c r="C54" s="8" t="s">
        <v>337</v>
      </c>
      <c r="D54" s="8" t="n">
        <v>121003</v>
      </c>
      <c r="E54" s="8" t="s">
        <v>338</v>
      </c>
      <c r="F54" s="8" t="s">
        <v>182</v>
      </c>
      <c r="G54" s="8" t="s">
        <v>192</v>
      </c>
      <c r="H54" s="8" t="s">
        <v>339</v>
      </c>
    </row>
    <row r="55" customFormat="false" ht="15" hidden="false" customHeight="true" outlineLevel="0" collapsed="false">
      <c r="A55" s="8" t="s">
        <v>340</v>
      </c>
      <c r="B55" s="8" t="s">
        <v>142</v>
      </c>
      <c r="C55" s="8" t="s">
        <v>341</v>
      </c>
      <c r="D55" s="8" t="n">
        <v>121003</v>
      </c>
      <c r="E55" s="8" t="s">
        <v>342</v>
      </c>
      <c r="F55" s="8" t="s">
        <v>182</v>
      </c>
      <c r="G55" s="8" t="s">
        <v>192</v>
      </c>
      <c r="H55" s="8" t="s">
        <v>197</v>
      </c>
    </row>
    <row r="56" customFormat="false" ht="15" hidden="false" customHeight="true" outlineLevel="0" collapsed="false">
      <c r="A56" s="8" t="s">
        <v>343</v>
      </c>
      <c r="B56" s="8" t="s">
        <v>135</v>
      </c>
      <c r="C56" s="8" t="s">
        <v>344</v>
      </c>
      <c r="D56" s="8" t="n">
        <v>121003</v>
      </c>
      <c r="E56" s="8" t="s">
        <v>345</v>
      </c>
      <c r="F56" s="8" t="s">
        <v>182</v>
      </c>
      <c r="G56" s="8" t="s">
        <v>192</v>
      </c>
      <c r="H56" s="8" t="s">
        <v>339</v>
      </c>
    </row>
    <row r="57" customFormat="false" ht="15" hidden="false" customHeight="true" outlineLevel="0" collapsed="false">
      <c r="A57" s="8" t="s">
        <v>346</v>
      </c>
      <c r="B57" s="8" t="s">
        <v>134</v>
      </c>
      <c r="C57" s="8" t="s">
        <v>195</v>
      </c>
      <c r="D57" s="8" t="n">
        <v>121003</v>
      </c>
      <c r="E57" s="8" t="s">
        <v>347</v>
      </c>
      <c r="F57" s="8" t="s">
        <v>183</v>
      </c>
      <c r="G57" s="8" t="s">
        <v>192</v>
      </c>
      <c r="H57" s="8" t="s">
        <v>204</v>
      </c>
    </row>
    <row r="58" customFormat="false" ht="15" hidden="false" customHeight="true" outlineLevel="0" collapsed="false">
      <c r="A58" s="8" t="s">
        <v>348</v>
      </c>
      <c r="B58" s="8" t="s">
        <v>102</v>
      </c>
      <c r="C58" s="8" t="s">
        <v>349</v>
      </c>
      <c r="D58" s="8" t="n">
        <v>121003</v>
      </c>
      <c r="E58" s="8" t="s">
        <v>350</v>
      </c>
      <c r="F58" s="8" t="s">
        <v>183</v>
      </c>
      <c r="G58" s="8" t="s">
        <v>192</v>
      </c>
      <c r="H58" s="8" t="s">
        <v>216</v>
      </c>
    </row>
    <row r="59" customFormat="false" ht="15" hidden="false" customHeight="true" outlineLevel="0" collapsed="false">
      <c r="A59" s="8" t="s">
        <v>351</v>
      </c>
      <c r="B59" s="8" t="s">
        <v>100</v>
      </c>
      <c r="C59" s="8" t="s">
        <v>349</v>
      </c>
      <c r="D59" s="8" t="n">
        <v>121003</v>
      </c>
      <c r="E59" s="8" t="s">
        <v>352</v>
      </c>
      <c r="F59" s="8" t="s">
        <v>182</v>
      </c>
      <c r="G59" s="8" t="s">
        <v>192</v>
      </c>
      <c r="H59" s="8" t="s">
        <v>193</v>
      </c>
    </row>
    <row r="60" customFormat="false" ht="15" hidden="false" customHeight="true" outlineLevel="0" collapsed="false">
      <c r="A60" s="8" t="s">
        <v>353</v>
      </c>
      <c r="B60" s="8" t="s">
        <v>99</v>
      </c>
      <c r="C60" s="8" t="s">
        <v>354</v>
      </c>
      <c r="D60" s="8" t="n">
        <v>121003</v>
      </c>
      <c r="E60" s="8" t="s">
        <v>355</v>
      </c>
      <c r="F60" s="8" t="s">
        <v>182</v>
      </c>
      <c r="G60" s="8" t="s">
        <v>192</v>
      </c>
      <c r="H60" s="8" t="s">
        <v>356</v>
      </c>
    </row>
    <row r="61" customFormat="false" ht="15" hidden="false" customHeight="true" outlineLevel="0" collapsed="false">
      <c r="A61" s="8" t="s">
        <v>357</v>
      </c>
      <c r="B61" s="8" t="s">
        <v>164</v>
      </c>
      <c r="C61" s="8" t="s">
        <v>358</v>
      </c>
      <c r="D61" s="8" t="n">
        <v>121003</v>
      </c>
      <c r="E61" s="8" t="s">
        <v>359</v>
      </c>
      <c r="F61" s="8" t="s">
        <v>182</v>
      </c>
      <c r="G61" s="8" t="s">
        <v>192</v>
      </c>
      <c r="H61" s="8" t="s">
        <v>339</v>
      </c>
    </row>
    <row r="62" customFormat="false" ht="15" hidden="false" customHeight="true" outlineLevel="0" collapsed="false">
      <c r="A62" s="8" t="s">
        <v>360</v>
      </c>
      <c r="B62" s="8" t="s">
        <v>140</v>
      </c>
      <c r="C62" s="8" t="s">
        <v>223</v>
      </c>
      <c r="D62" s="8" t="n">
        <v>121003</v>
      </c>
      <c r="E62" s="8" t="s">
        <v>361</v>
      </c>
      <c r="F62" s="8" t="s">
        <v>182</v>
      </c>
      <c r="G62" s="8" t="s">
        <v>192</v>
      </c>
      <c r="H62" s="8" t="s">
        <v>197</v>
      </c>
    </row>
    <row r="63" customFormat="false" ht="15" hidden="false" customHeight="true" outlineLevel="0" collapsed="false">
      <c r="A63" s="8" t="s">
        <v>362</v>
      </c>
      <c r="B63" s="8" t="s">
        <v>123</v>
      </c>
      <c r="C63" s="8" t="s">
        <v>218</v>
      </c>
      <c r="D63" s="8" t="n">
        <v>121003</v>
      </c>
      <c r="E63" s="8" t="s">
        <v>363</v>
      </c>
      <c r="F63" s="8" t="s">
        <v>182</v>
      </c>
      <c r="G63" s="8" t="s">
        <v>192</v>
      </c>
      <c r="H63" s="8" t="s">
        <v>208</v>
      </c>
    </row>
    <row r="64" customFormat="false" ht="15" hidden="false" customHeight="true" outlineLevel="0" collapsed="false">
      <c r="A64" s="8" t="s">
        <v>364</v>
      </c>
      <c r="B64" s="8" t="s">
        <v>119</v>
      </c>
      <c r="C64" s="8" t="s">
        <v>365</v>
      </c>
      <c r="D64" s="8" t="n">
        <v>121003</v>
      </c>
      <c r="E64" s="8" t="s">
        <v>366</v>
      </c>
      <c r="F64" s="8" t="s">
        <v>182</v>
      </c>
      <c r="G64" s="8" t="s">
        <v>192</v>
      </c>
      <c r="H64" s="8" t="s">
        <v>197</v>
      </c>
    </row>
    <row r="65" customFormat="false" ht="15" hidden="false" customHeight="true" outlineLevel="0" collapsed="false">
      <c r="A65" s="8" t="s">
        <v>367</v>
      </c>
      <c r="B65" s="8" t="s">
        <v>109</v>
      </c>
      <c r="C65" s="8" t="s">
        <v>269</v>
      </c>
      <c r="D65" s="8" t="n">
        <v>121003</v>
      </c>
      <c r="E65" s="8" t="s">
        <v>368</v>
      </c>
      <c r="F65" s="8" t="s">
        <v>182</v>
      </c>
      <c r="G65" s="8" t="s">
        <v>192</v>
      </c>
      <c r="H65" s="8" t="s">
        <v>197</v>
      </c>
    </row>
    <row r="66" customFormat="false" ht="15" hidden="false" customHeight="true" outlineLevel="0" collapsed="false">
      <c r="A66" s="8" t="s">
        <v>369</v>
      </c>
      <c r="B66" s="8" t="s">
        <v>96</v>
      </c>
      <c r="C66" s="8" t="s">
        <v>370</v>
      </c>
      <c r="D66" s="8" t="n">
        <v>121003</v>
      </c>
      <c r="E66" s="8" t="s">
        <v>371</v>
      </c>
      <c r="F66" s="8" t="s">
        <v>182</v>
      </c>
      <c r="G66" s="8" t="s">
        <v>192</v>
      </c>
      <c r="H66" s="8" t="s">
        <v>197</v>
      </c>
    </row>
    <row r="67" customFormat="false" ht="15" hidden="false" customHeight="true" outlineLevel="0" collapsed="false">
      <c r="A67" s="8" t="s">
        <v>372</v>
      </c>
      <c r="B67" s="8" t="s">
        <v>89</v>
      </c>
      <c r="C67" s="8" t="s">
        <v>370</v>
      </c>
      <c r="D67" s="8" t="n">
        <v>121003</v>
      </c>
      <c r="E67" s="8" t="s">
        <v>373</v>
      </c>
      <c r="F67" s="8" t="s">
        <v>182</v>
      </c>
      <c r="G67" s="8" t="s">
        <v>192</v>
      </c>
      <c r="H67" s="8" t="s">
        <v>197</v>
      </c>
    </row>
    <row r="68" customFormat="false" ht="15" hidden="false" customHeight="true" outlineLevel="0" collapsed="false">
      <c r="A68" s="8" t="s">
        <v>374</v>
      </c>
      <c r="B68" s="8" t="s">
        <v>87</v>
      </c>
      <c r="C68" s="8" t="s">
        <v>260</v>
      </c>
      <c r="D68" s="8" t="n">
        <v>121003</v>
      </c>
      <c r="E68" s="8" t="s">
        <v>375</v>
      </c>
      <c r="F68" s="8" t="s">
        <v>182</v>
      </c>
      <c r="G68" s="8" t="s">
        <v>192</v>
      </c>
      <c r="H68" s="8" t="s">
        <v>197</v>
      </c>
    </row>
    <row r="69" customFormat="false" ht="15" hidden="false" customHeight="true" outlineLevel="0" collapsed="false">
      <c r="A69" s="8" t="s">
        <v>376</v>
      </c>
      <c r="B69" s="8" t="s">
        <v>84</v>
      </c>
      <c r="C69" s="8" t="s">
        <v>377</v>
      </c>
      <c r="D69" s="8" t="n">
        <v>121003</v>
      </c>
      <c r="E69" s="8" t="s">
        <v>378</v>
      </c>
      <c r="F69" s="8" t="s">
        <v>182</v>
      </c>
      <c r="G69" s="8" t="s">
        <v>192</v>
      </c>
      <c r="H69" s="8" t="s">
        <v>197</v>
      </c>
    </row>
    <row r="70" customFormat="false" ht="15" hidden="false" customHeight="true" outlineLevel="0" collapsed="false">
      <c r="A70" s="8" t="s">
        <v>379</v>
      </c>
      <c r="B70" s="8" t="s">
        <v>83</v>
      </c>
      <c r="C70" s="8" t="s">
        <v>269</v>
      </c>
      <c r="D70" s="8" t="n">
        <v>121003</v>
      </c>
      <c r="E70" s="8" t="s">
        <v>380</v>
      </c>
      <c r="F70" s="8" t="s">
        <v>182</v>
      </c>
      <c r="G70" s="8" t="s">
        <v>192</v>
      </c>
      <c r="H70" s="8" t="s">
        <v>197</v>
      </c>
    </row>
    <row r="71" customFormat="false" ht="15" hidden="false" customHeight="true" outlineLevel="0" collapsed="false">
      <c r="A71" s="8" t="s">
        <v>381</v>
      </c>
      <c r="B71" s="8" t="s">
        <v>80</v>
      </c>
      <c r="C71" s="8" t="s">
        <v>218</v>
      </c>
      <c r="D71" s="8" t="n">
        <v>121003</v>
      </c>
      <c r="E71" s="8" t="s">
        <v>382</v>
      </c>
      <c r="F71" s="8" t="s">
        <v>182</v>
      </c>
      <c r="G71" s="8" t="s">
        <v>245</v>
      </c>
      <c r="H71" s="8" t="s">
        <v>383</v>
      </c>
    </row>
    <row r="72" customFormat="false" ht="15" hidden="false" customHeight="true" outlineLevel="0" collapsed="false">
      <c r="A72" s="8" t="s">
        <v>384</v>
      </c>
      <c r="B72" s="8" t="s">
        <v>75</v>
      </c>
      <c r="C72" s="8" t="s">
        <v>385</v>
      </c>
      <c r="D72" s="8" t="n">
        <v>121003</v>
      </c>
      <c r="E72" s="8" t="s">
        <v>386</v>
      </c>
      <c r="F72" s="8" t="s">
        <v>182</v>
      </c>
      <c r="G72" s="8" t="s">
        <v>192</v>
      </c>
      <c r="H72" s="8" t="s">
        <v>356</v>
      </c>
    </row>
    <row r="73" customFormat="false" ht="15" hidden="false" customHeight="true" outlineLevel="0" collapsed="false">
      <c r="A73" s="8" t="s">
        <v>387</v>
      </c>
      <c r="B73" s="8" t="s">
        <v>73</v>
      </c>
      <c r="C73" s="8" t="s">
        <v>195</v>
      </c>
      <c r="D73" s="8" t="n">
        <v>121003</v>
      </c>
      <c r="E73" s="8" t="s">
        <v>388</v>
      </c>
      <c r="F73" s="8" t="s">
        <v>182</v>
      </c>
      <c r="G73" s="8" t="s">
        <v>192</v>
      </c>
      <c r="H73" s="8" t="s">
        <v>197</v>
      </c>
    </row>
    <row r="74" customFormat="false" ht="15" hidden="false" customHeight="true" outlineLevel="0" collapsed="false">
      <c r="A74" s="8" t="s">
        <v>389</v>
      </c>
      <c r="B74" s="8" t="s">
        <v>78</v>
      </c>
      <c r="C74" s="8" t="s">
        <v>390</v>
      </c>
      <c r="D74" s="8" t="n">
        <v>121003</v>
      </c>
      <c r="E74" s="8" t="s">
        <v>380</v>
      </c>
      <c r="F74" s="8" t="s">
        <v>182</v>
      </c>
      <c r="G74" s="8" t="s">
        <v>192</v>
      </c>
      <c r="H74" s="8" t="s">
        <v>197</v>
      </c>
    </row>
    <row r="75" customFormat="false" ht="15" hidden="false" customHeight="true" outlineLevel="0" collapsed="false">
      <c r="A75" s="8" t="s">
        <v>391</v>
      </c>
      <c r="B75" s="8" t="s">
        <v>72</v>
      </c>
      <c r="C75" s="8" t="s">
        <v>206</v>
      </c>
      <c r="D75" s="8" t="n">
        <v>121003</v>
      </c>
      <c r="E75" s="8" t="s">
        <v>392</v>
      </c>
      <c r="F75" s="8" t="s">
        <v>182</v>
      </c>
      <c r="G75" s="8" t="s">
        <v>245</v>
      </c>
      <c r="H75" s="8" t="s">
        <v>383</v>
      </c>
    </row>
    <row r="76" customFormat="false" ht="15" hidden="false" customHeight="true" outlineLevel="0" collapsed="false">
      <c r="A76" s="8" t="s">
        <v>393</v>
      </c>
      <c r="B76" s="8" t="s">
        <v>71</v>
      </c>
      <c r="C76" s="8" t="s">
        <v>243</v>
      </c>
      <c r="D76" s="8" t="n">
        <v>121003</v>
      </c>
      <c r="E76" s="8" t="s">
        <v>394</v>
      </c>
      <c r="F76" s="8" t="s">
        <v>182</v>
      </c>
      <c r="G76" s="8" t="s">
        <v>192</v>
      </c>
      <c r="H76" s="8" t="s">
        <v>208</v>
      </c>
    </row>
    <row r="77" customFormat="false" ht="15" hidden="false" customHeight="true" outlineLevel="0" collapsed="false">
      <c r="A77" s="8" t="s">
        <v>395</v>
      </c>
      <c r="B77" s="8" t="s">
        <v>70</v>
      </c>
      <c r="C77" s="8" t="s">
        <v>256</v>
      </c>
      <c r="D77" s="8" t="n">
        <v>121003</v>
      </c>
      <c r="E77" s="8" t="s">
        <v>394</v>
      </c>
      <c r="F77" s="8" t="s">
        <v>182</v>
      </c>
      <c r="G77" s="8" t="s">
        <v>192</v>
      </c>
      <c r="H77" s="8" t="s">
        <v>197</v>
      </c>
    </row>
    <row r="78" customFormat="false" ht="15" hidden="false" customHeight="true" outlineLevel="0" collapsed="false">
      <c r="A78" s="8" t="s">
        <v>396</v>
      </c>
      <c r="B78" s="8" t="s">
        <v>68</v>
      </c>
      <c r="C78" s="8" t="s">
        <v>218</v>
      </c>
      <c r="D78" s="8" t="n">
        <v>121003</v>
      </c>
      <c r="E78" s="8" t="s">
        <v>397</v>
      </c>
      <c r="F78" s="8" t="s">
        <v>182</v>
      </c>
      <c r="G78" s="8" t="s">
        <v>192</v>
      </c>
      <c r="H78" s="8" t="s">
        <v>208</v>
      </c>
    </row>
    <row r="79" customFormat="false" ht="15" hidden="false" customHeight="true" outlineLevel="0" collapsed="false">
      <c r="A79" s="8" t="s">
        <v>398</v>
      </c>
      <c r="B79" s="8" t="s">
        <v>61</v>
      </c>
      <c r="C79" s="8" t="s">
        <v>399</v>
      </c>
      <c r="D79" s="8" t="n">
        <v>121003</v>
      </c>
      <c r="E79" s="8" t="s">
        <v>388</v>
      </c>
      <c r="F79" s="8" t="s">
        <v>182</v>
      </c>
      <c r="G79" s="8" t="s">
        <v>192</v>
      </c>
      <c r="H79" s="8" t="s">
        <v>201</v>
      </c>
    </row>
    <row r="80" customFormat="false" ht="15" hidden="false" customHeight="true" outlineLevel="0" collapsed="false">
      <c r="A80" s="8" t="s">
        <v>400</v>
      </c>
      <c r="B80" s="8" t="s">
        <v>59</v>
      </c>
      <c r="C80" s="8" t="s">
        <v>243</v>
      </c>
      <c r="D80" s="8" t="n">
        <v>121003</v>
      </c>
      <c r="E80" s="8" t="s">
        <v>388</v>
      </c>
      <c r="F80" s="8" t="s">
        <v>182</v>
      </c>
      <c r="G80" s="8" t="s">
        <v>192</v>
      </c>
      <c r="H80" s="8" t="s">
        <v>208</v>
      </c>
    </row>
    <row r="81" customFormat="false" ht="15" hidden="false" customHeight="true" outlineLevel="0" collapsed="false">
      <c r="A81" s="8" t="s">
        <v>401</v>
      </c>
      <c r="B81" s="8" t="s">
        <v>57</v>
      </c>
      <c r="C81" s="8" t="s">
        <v>243</v>
      </c>
      <c r="D81" s="8" t="n">
        <v>121003</v>
      </c>
      <c r="E81" s="8" t="s">
        <v>402</v>
      </c>
      <c r="F81" s="8" t="s">
        <v>182</v>
      </c>
      <c r="G81" s="8" t="s">
        <v>192</v>
      </c>
      <c r="H81" s="8" t="s">
        <v>208</v>
      </c>
    </row>
    <row r="82" customFormat="false" ht="15" hidden="false" customHeight="true" outlineLevel="0" collapsed="false">
      <c r="A82" s="8" t="s">
        <v>403</v>
      </c>
      <c r="B82" s="8" t="s">
        <v>56</v>
      </c>
      <c r="C82" s="8" t="s">
        <v>206</v>
      </c>
      <c r="D82" s="8" t="n">
        <v>121003</v>
      </c>
      <c r="E82" s="8" t="s">
        <v>404</v>
      </c>
      <c r="F82" s="8" t="s">
        <v>182</v>
      </c>
      <c r="G82" s="8" t="s">
        <v>192</v>
      </c>
      <c r="H82" s="8" t="s">
        <v>208</v>
      </c>
    </row>
    <row r="83" customFormat="false" ht="15" hidden="false" customHeight="true" outlineLevel="0" collapsed="false">
      <c r="A83" s="8" t="s">
        <v>405</v>
      </c>
      <c r="B83" s="8" t="s">
        <v>55</v>
      </c>
      <c r="C83" s="8" t="s">
        <v>269</v>
      </c>
      <c r="D83" s="8" t="n">
        <v>121003</v>
      </c>
      <c r="E83" s="8" t="s">
        <v>406</v>
      </c>
      <c r="F83" s="8" t="s">
        <v>182</v>
      </c>
      <c r="G83" s="8" t="s">
        <v>192</v>
      </c>
      <c r="H83" s="8" t="s">
        <v>197</v>
      </c>
    </row>
    <row r="84" customFormat="false" ht="15" hidden="false" customHeight="true" outlineLevel="0" collapsed="false">
      <c r="A84" s="8" t="s">
        <v>407</v>
      </c>
      <c r="B84" s="8" t="s">
        <v>54</v>
      </c>
      <c r="C84" s="8" t="s">
        <v>243</v>
      </c>
      <c r="D84" s="8" t="n">
        <v>121003</v>
      </c>
      <c r="E84" s="8" t="s">
        <v>388</v>
      </c>
      <c r="F84" s="8" t="s">
        <v>182</v>
      </c>
      <c r="G84" s="8" t="s">
        <v>192</v>
      </c>
      <c r="H84" s="8" t="s">
        <v>208</v>
      </c>
    </row>
    <row r="85" customFormat="false" ht="15" hidden="false" customHeight="true" outlineLevel="0" collapsed="false">
      <c r="A85" s="8" t="s">
        <v>408</v>
      </c>
      <c r="B85" s="8" t="s">
        <v>53</v>
      </c>
      <c r="C85" s="8" t="s">
        <v>218</v>
      </c>
      <c r="D85" s="8" t="n">
        <v>121003</v>
      </c>
      <c r="E85" s="8" t="s">
        <v>409</v>
      </c>
      <c r="F85" s="8" t="s">
        <v>182</v>
      </c>
      <c r="G85" s="8" t="s">
        <v>192</v>
      </c>
      <c r="H85" s="8" t="s">
        <v>208</v>
      </c>
    </row>
    <row r="86" customFormat="false" ht="15" hidden="false" customHeight="true" outlineLevel="0" collapsed="false">
      <c r="A86" s="8" t="s">
        <v>410</v>
      </c>
      <c r="B86" s="8" t="s">
        <v>58</v>
      </c>
      <c r="C86" s="8" t="s">
        <v>260</v>
      </c>
      <c r="D86" s="8" t="n">
        <v>121003</v>
      </c>
      <c r="E86" s="8" t="s">
        <v>411</v>
      </c>
      <c r="F86" s="8" t="s">
        <v>182</v>
      </c>
      <c r="G86" s="8" t="s">
        <v>192</v>
      </c>
      <c r="H86" s="8" t="s">
        <v>197</v>
      </c>
    </row>
    <row r="87" customFormat="false" ht="15" hidden="false" customHeight="true" outlineLevel="0" collapsed="false">
      <c r="A87" s="8" t="s">
        <v>412</v>
      </c>
      <c r="B87" s="8" t="s">
        <v>51</v>
      </c>
      <c r="C87" s="8" t="s">
        <v>413</v>
      </c>
      <c r="D87" s="8" t="n">
        <v>121003</v>
      </c>
      <c r="E87" s="8" t="s">
        <v>414</v>
      </c>
      <c r="F87" s="8" t="s">
        <v>182</v>
      </c>
      <c r="G87" s="8" t="s">
        <v>192</v>
      </c>
      <c r="H87" s="8" t="s">
        <v>193</v>
      </c>
    </row>
    <row r="88" customFormat="false" ht="15" hidden="false" customHeight="true" outlineLevel="0" collapsed="false">
      <c r="A88" s="8" t="s">
        <v>415</v>
      </c>
      <c r="B88" s="8" t="s">
        <v>63</v>
      </c>
      <c r="C88" s="8" t="s">
        <v>206</v>
      </c>
      <c r="D88" s="8" t="n">
        <v>121003</v>
      </c>
      <c r="E88" s="8" t="s">
        <v>416</v>
      </c>
      <c r="F88" s="8" t="s">
        <v>182</v>
      </c>
      <c r="G88" s="8" t="s">
        <v>192</v>
      </c>
      <c r="H88" s="8" t="s">
        <v>208</v>
      </c>
    </row>
    <row r="89" customFormat="false" ht="15" hidden="false" customHeight="true" outlineLevel="0" collapsed="false">
      <c r="A89" s="8" t="s">
        <v>417</v>
      </c>
      <c r="B89" s="8" t="s">
        <v>81</v>
      </c>
      <c r="C89" s="8" t="s">
        <v>269</v>
      </c>
      <c r="D89" s="8" t="n">
        <v>121003</v>
      </c>
      <c r="E89" s="8" t="s">
        <v>418</v>
      </c>
      <c r="F89" s="8" t="s">
        <v>183</v>
      </c>
      <c r="G89" s="8" t="s">
        <v>192</v>
      </c>
      <c r="H89" s="8" t="s">
        <v>204</v>
      </c>
    </row>
    <row r="90" customFormat="false" ht="15" hidden="false" customHeight="true" outlineLevel="0" collapsed="false">
      <c r="A90" s="8" t="s">
        <v>419</v>
      </c>
      <c r="B90" s="8" t="s">
        <v>64</v>
      </c>
      <c r="C90" s="8" t="s">
        <v>420</v>
      </c>
      <c r="D90" s="8" t="n">
        <v>121003</v>
      </c>
      <c r="E90" s="8" t="s">
        <v>421</v>
      </c>
      <c r="F90" s="8" t="s">
        <v>183</v>
      </c>
      <c r="G90" s="8" t="s">
        <v>192</v>
      </c>
      <c r="H90" s="8" t="s">
        <v>239</v>
      </c>
    </row>
    <row r="91" customFormat="false" ht="15" hidden="false" customHeight="true" outlineLevel="0" collapsed="false">
      <c r="A91" s="8" t="s">
        <v>422</v>
      </c>
      <c r="B91" s="8" t="s">
        <v>42</v>
      </c>
      <c r="C91" s="8" t="s">
        <v>281</v>
      </c>
      <c r="D91" s="8" t="n">
        <v>121003</v>
      </c>
      <c r="E91" s="8" t="s">
        <v>423</v>
      </c>
      <c r="F91" s="8" t="s">
        <v>183</v>
      </c>
      <c r="G91" s="8" t="s">
        <v>192</v>
      </c>
      <c r="H91" s="8" t="s">
        <v>424</v>
      </c>
    </row>
    <row r="92" customFormat="false" ht="15" hidden="false" customHeight="true" outlineLevel="0" collapsed="false">
      <c r="A92" s="8" t="s">
        <v>425</v>
      </c>
      <c r="B92" s="8" t="s">
        <v>169</v>
      </c>
      <c r="C92" s="8" t="s">
        <v>297</v>
      </c>
      <c r="D92" s="8" t="n">
        <v>121003</v>
      </c>
      <c r="E92" s="8" t="s">
        <v>394</v>
      </c>
      <c r="F92" s="8" t="s">
        <v>182</v>
      </c>
      <c r="G92" s="8" t="s">
        <v>192</v>
      </c>
      <c r="H92" s="8" t="s">
        <v>197</v>
      </c>
    </row>
    <row r="93" customFormat="false" ht="15" hidden="false" customHeight="true" outlineLevel="0" collapsed="false">
      <c r="A93" s="8" t="s">
        <v>426</v>
      </c>
      <c r="B93" s="8" t="s">
        <v>153</v>
      </c>
      <c r="C93" s="8" t="s">
        <v>427</v>
      </c>
      <c r="D93" s="8" t="n">
        <v>121003</v>
      </c>
      <c r="E93" s="8" t="s">
        <v>428</v>
      </c>
      <c r="F93" s="8" t="s">
        <v>182</v>
      </c>
      <c r="G93" s="8" t="s">
        <v>192</v>
      </c>
      <c r="H93" s="8" t="s">
        <v>193</v>
      </c>
    </row>
    <row r="94" customFormat="false" ht="15" hidden="false" customHeight="true" outlineLevel="0" collapsed="false">
      <c r="A94" s="8" t="s">
        <v>429</v>
      </c>
      <c r="B94" s="8" t="s">
        <v>150</v>
      </c>
      <c r="C94" s="8" t="s">
        <v>377</v>
      </c>
      <c r="D94" s="8" t="n">
        <v>121003</v>
      </c>
      <c r="E94" s="8" t="s">
        <v>430</v>
      </c>
      <c r="F94" s="8" t="s">
        <v>182</v>
      </c>
      <c r="G94" s="8" t="s">
        <v>192</v>
      </c>
      <c r="H94" s="8" t="s">
        <v>197</v>
      </c>
    </row>
    <row r="95" customFormat="false" ht="15" hidden="false" customHeight="true" outlineLevel="0" collapsed="false">
      <c r="A95" s="8" t="s">
        <v>431</v>
      </c>
      <c r="B95" s="8" t="s">
        <v>149</v>
      </c>
      <c r="C95" s="8" t="s">
        <v>308</v>
      </c>
      <c r="D95" s="8" t="n">
        <v>121003</v>
      </c>
      <c r="E95" s="8" t="s">
        <v>432</v>
      </c>
      <c r="F95" s="8" t="s">
        <v>182</v>
      </c>
      <c r="G95" s="8" t="s">
        <v>192</v>
      </c>
      <c r="H95" s="8" t="s">
        <v>197</v>
      </c>
    </row>
    <row r="96" customFormat="false" ht="15" hidden="false" customHeight="true" outlineLevel="0" collapsed="false">
      <c r="A96" s="8" t="s">
        <v>433</v>
      </c>
      <c r="B96" s="8" t="s">
        <v>147</v>
      </c>
      <c r="C96" s="8" t="s">
        <v>294</v>
      </c>
      <c r="D96" s="8" t="n">
        <v>121003</v>
      </c>
      <c r="E96" s="8" t="s">
        <v>434</v>
      </c>
      <c r="F96" s="8" t="s">
        <v>182</v>
      </c>
      <c r="G96" s="8" t="s">
        <v>192</v>
      </c>
      <c r="H96" s="8" t="s">
        <v>197</v>
      </c>
    </row>
    <row r="97" customFormat="false" ht="15" hidden="false" customHeight="true" outlineLevel="0" collapsed="false">
      <c r="A97" s="8" t="s">
        <v>435</v>
      </c>
      <c r="B97" s="8" t="s">
        <v>138</v>
      </c>
      <c r="C97" s="8" t="s">
        <v>436</v>
      </c>
      <c r="D97" s="8" t="n">
        <v>121003</v>
      </c>
      <c r="E97" s="8" t="s">
        <v>437</v>
      </c>
      <c r="F97" s="8" t="s">
        <v>182</v>
      </c>
      <c r="G97" s="8" t="s">
        <v>192</v>
      </c>
      <c r="H97" s="8" t="s">
        <v>201</v>
      </c>
    </row>
    <row r="98" customFormat="false" ht="15" hidden="false" customHeight="true" outlineLevel="0" collapsed="false">
      <c r="A98" s="8" t="s">
        <v>438</v>
      </c>
      <c r="B98" s="8" t="s">
        <v>132</v>
      </c>
      <c r="C98" s="8" t="s">
        <v>294</v>
      </c>
      <c r="D98" s="8" t="n">
        <v>121003</v>
      </c>
      <c r="E98" s="8" t="s">
        <v>439</v>
      </c>
      <c r="F98" s="8" t="s">
        <v>182</v>
      </c>
      <c r="G98" s="8" t="s">
        <v>192</v>
      </c>
      <c r="H98" s="8" t="s">
        <v>197</v>
      </c>
    </row>
    <row r="99" customFormat="false" ht="15" hidden="false" customHeight="true" outlineLevel="0" collapsed="false">
      <c r="A99" s="8" t="s">
        <v>440</v>
      </c>
      <c r="B99" s="8" t="s">
        <v>130</v>
      </c>
      <c r="C99" s="8" t="s">
        <v>441</v>
      </c>
      <c r="D99" s="8" t="n">
        <v>121003</v>
      </c>
      <c r="E99" s="8" t="s">
        <v>442</v>
      </c>
      <c r="F99" s="8" t="s">
        <v>182</v>
      </c>
      <c r="G99" s="8" t="s">
        <v>192</v>
      </c>
      <c r="H99" s="8" t="s">
        <v>197</v>
      </c>
    </row>
    <row r="100" customFormat="false" ht="15" hidden="false" customHeight="true" outlineLevel="0" collapsed="false">
      <c r="A100" s="8" t="s">
        <v>443</v>
      </c>
      <c r="B100" s="8" t="s">
        <v>125</v>
      </c>
      <c r="C100" s="8" t="s">
        <v>444</v>
      </c>
      <c r="D100" s="8" t="n">
        <v>121003</v>
      </c>
      <c r="E100" s="8" t="s">
        <v>445</v>
      </c>
      <c r="F100" s="8" t="s">
        <v>182</v>
      </c>
      <c r="G100" s="8" t="s">
        <v>192</v>
      </c>
      <c r="H100" s="8" t="s">
        <v>446</v>
      </c>
    </row>
    <row r="101" customFormat="false" ht="15" hidden="false" customHeight="true" outlineLevel="0" collapsed="false">
      <c r="A101" s="8" t="s">
        <v>447</v>
      </c>
      <c r="B101" s="8" t="s">
        <v>137</v>
      </c>
      <c r="C101" s="8" t="s">
        <v>448</v>
      </c>
      <c r="D101" s="8" t="n">
        <v>121003</v>
      </c>
      <c r="E101" s="8" t="s">
        <v>449</v>
      </c>
      <c r="F101" s="8" t="s">
        <v>182</v>
      </c>
      <c r="G101" s="8" t="s">
        <v>192</v>
      </c>
      <c r="H101" s="8" t="s">
        <v>197</v>
      </c>
    </row>
    <row r="102" customFormat="false" ht="15" hidden="false" customHeight="true" outlineLevel="0" collapsed="false">
      <c r="A102" s="8" t="s">
        <v>450</v>
      </c>
      <c r="B102" s="8" t="s">
        <v>133</v>
      </c>
      <c r="C102" s="8" t="s">
        <v>451</v>
      </c>
      <c r="D102" s="8" t="n">
        <v>121003</v>
      </c>
      <c r="E102" s="8" t="s">
        <v>452</v>
      </c>
      <c r="F102" s="8" t="s">
        <v>182</v>
      </c>
      <c r="G102" s="8" t="s">
        <v>192</v>
      </c>
      <c r="H102" s="8" t="s">
        <v>193</v>
      </c>
    </row>
    <row r="103" customFormat="false" ht="15" hidden="false" customHeight="true" outlineLevel="0" collapsed="false">
      <c r="A103" s="8" t="s">
        <v>453</v>
      </c>
      <c r="B103" s="8" t="s">
        <v>117</v>
      </c>
      <c r="C103" s="8" t="s">
        <v>256</v>
      </c>
      <c r="D103" s="8" t="n">
        <v>121003</v>
      </c>
      <c r="E103" s="8" t="s">
        <v>368</v>
      </c>
      <c r="F103" s="8" t="s">
        <v>182</v>
      </c>
      <c r="G103" s="8" t="s">
        <v>192</v>
      </c>
      <c r="H103" s="8" t="s">
        <v>197</v>
      </c>
    </row>
    <row r="104" customFormat="false" ht="15" hidden="false" customHeight="true" outlineLevel="0" collapsed="false">
      <c r="A104" s="8" t="s">
        <v>454</v>
      </c>
      <c r="B104" s="8" t="s">
        <v>114</v>
      </c>
      <c r="C104" s="8" t="s">
        <v>226</v>
      </c>
      <c r="D104" s="8" t="n">
        <v>121003</v>
      </c>
      <c r="E104" s="8" t="s">
        <v>455</v>
      </c>
      <c r="F104" s="8" t="s">
        <v>183</v>
      </c>
      <c r="G104" s="8" t="s">
        <v>192</v>
      </c>
      <c r="H104" s="8" t="s">
        <v>204</v>
      </c>
    </row>
    <row r="105" customFormat="false" ht="15" hidden="false" customHeight="true" outlineLevel="0" collapsed="false">
      <c r="A105" s="8" t="s">
        <v>456</v>
      </c>
      <c r="B105" s="8" t="s">
        <v>111</v>
      </c>
      <c r="C105" s="8" t="s">
        <v>226</v>
      </c>
      <c r="D105" s="8" t="n">
        <v>121003</v>
      </c>
      <c r="E105" s="8" t="s">
        <v>457</v>
      </c>
      <c r="F105" s="8" t="s">
        <v>182</v>
      </c>
      <c r="G105" s="8" t="s">
        <v>192</v>
      </c>
      <c r="H105" s="8" t="s">
        <v>197</v>
      </c>
    </row>
    <row r="106" customFormat="false" ht="15" hidden="false" customHeight="true" outlineLevel="0" collapsed="false">
      <c r="A106" s="8" t="s">
        <v>458</v>
      </c>
      <c r="B106" s="8" t="s">
        <v>110</v>
      </c>
      <c r="C106" s="8" t="s">
        <v>459</v>
      </c>
      <c r="D106" s="8" t="n">
        <v>121003</v>
      </c>
      <c r="E106" s="8" t="s">
        <v>460</v>
      </c>
      <c r="F106" s="8" t="s">
        <v>182</v>
      </c>
      <c r="G106" s="8" t="s">
        <v>192</v>
      </c>
      <c r="H106" s="8" t="s">
        <v>339</v>
      </c>
    </row>
    <row r="107" customFormat="false" ht="15" hidden="false" customHeight="true" outlineLevel="0" collapsed="false">
      <c r="A107" s="8" t="s">
        <v>461</v>
      </c>
      <c r="B107" s="8" t="s">
        <v>108</v>
      </c>
      <c r="C107" s="8" t="s">
        <v>462</v>
      </c>
      <c r="D107" s="8" t="n">
        <v>121003</v>
      </c>
      <c r="E107" s="8" t="s">
        <v>463</v>
      </c>
      <c r="F107" s="8" t="s">
        <v>182</v>
      </c>
      <c r="G107" s="8" t="s">
        <v>192</v>
      </c>
      <c r="H107" s="8" t="s">
        <v>201</v>
      </c>
    </row>
    <row r="108" customFormat="false" ht="15" hidden="false" customHeight="true" outlineLevel="0" collapsed="false">
      <c r="A108" s="8" t="s">
        <v>464</v>
      </c>
      <c r="B108" s="8" t="s">
        <v>107</v>
      </c>
      <c r="C108" s="8" t="s">
        <v>341</v>
      </c>
      <c r="D108" s="8" t="n">
        <v>121003</v>
      </c>
      <c r="E108" s="8" t="s">
        <v>366</v>
      </c>
      <c r="F108" s="8" t="s">
        <v>182</v>
      </c>
      <c r="G108" s="8" t="s">
        <v>192</v>
      </c>
      <c r="H108" s="8" t="s">
        <v>197</v>
      </c>
    </row>
    <row r="109" customFormat="false" ht="15" hidden="false" customHeight="true" outlineLevel="0" collapsed="false">
      <c r="A109" s="8" t="s">
        <v>465</v>
      </c>
      <c r="B109" s="8" t="s">
        <v>106</v>
      </c>
      <c r="C109" s="8" t="s">
        <v>226</v>
      </c>
      <c r="D109" s="8" t="n">
        <v>121003</v>
      </c>
      <c r="E109" s="8" t="s">
        <v>466</v>
      </c>
      <c r="F109" s="8" t="s">
        <v>182</v>
      </c>
      <c r="G109" s="8" t="s">
        <v>192</v>
      </c>
      <c r="H109" s="8" t="s">
        <v>197</v>
      </c>
    </row>
    <row r="110" customFormat="false" ht="15" hidden="false" customHeight="true" outlineLevel="0" collapsed="false">
      <c r="A110" s="8" t="s">
        <v>467</v>
      </c>
      <c r="B110" s="8" t="s">
        <v>105</v>
      </c>
      <c r="C110" s="8" t="s">
        <v>226</v>
      </c>
      <c r="D110" s="8" t="n">
        <v>121003</v>
      </c>
      <c r="E110" s="8" t="s">
        <v>468</v>
      </c>
      <c r="F110" s="8" t="s">
        <v>182</v>
      </c>
      <c r="G110" s="8" t="s">
        <v>192</v>
      </c>
      <c r="H110" s="8" t="s">
        <v>197</v>
      </c>
    </row>
    <row r="111" customFormat="false" ht="15" hidden="false" customHeight="true" outlineLevel="0" collapsed="false">
      <c r="A111" s="8" t="s">
        <v>469</v>
      </c>
      <c r="B111" s="8" t="s">
        <v>104</v>
      </c>
      <c r="C111" s="8" t="s">
        <v>294</v>
      </c>
      <c r="D111" s="8" t="n">
        <v>121003</v>
      </c>
      <c r="E111" s="8" t="s">
        <v>470</v>
      </c>
      <c r="F111" s="8" t="s">
        <v>182</v>
      </c>
      <c r="G111" s="8" t="s">
        <v>192</v>
      </c>
      <c r="H111" s="8" t="s">
        <v>197</v>
      </c>
    </row>
    <row r="112" customFormat="false" ht="15" hidden="false" customHeight="true" outlineLevel="0" collapsed="false">
      <c r="A112" s="8" t="s">
        <v>471</v>
      </c>
      <c r="B112" s="8" t="s">
        <v>97</v>
      </c>
      <c r="C112" s="8" t="s">
        <v>472</v>
      </c>
      <c r="D112" s="8" t="n">
        <v>121003</v>
      </c>
      <c r="E112" s="8" t="s">
        <v>473</v>
      </c>
      <c r="F112" s="8" t="s">
        <v>182</v>
      </c>
      <c r="G112" s="8" t="s">
        <v>192</v>
      </c>
      <c r="H112" s="8" t="s">
        <v>197</v>
      </c>
    </row>
    <row r="113" customFormat="false" ht="15" hidden="false" customHeight="true" outlineLevel="0" collapsed="false">
      <c r="A113" s="8" t="s">
        <v>474</v>
      </c>
      <c r="B113" s="8" t="s">
        <v>95</v>
      </c>
      <c r="C113" s="8" t="s">
        <v>475</v>
      </c>
      <c r="D113" s="8" t="n">
        <v>121003</v>
      </c>
      <c r="E113" s="8" t="s">
        <v>476</v>
      </c>
      <c r="F113" s="8" t="s">
        <v>182</v>
      </c>
      <c r="G113" s="8" t="s">
        <v>192</v>
      </c>
      <c r="H113" s="8" t="s">
        <v>197</v>
      </c>
    </row>
    <row r="114" customFormat="false" ht="15" hidden="false" customHeight="true" outlineLevel="0" collapsed="false">
      <c r="A114" s="8" t="s">
        <v>477</v>
      </c>
      <c r="B114" s="8" t="s">
        <v>94</v>
      </c>
      <c r="C114" s="8" t="s">
        <v>294</v>
      </c>
      <c r="D114" s="8" t="n">
        <v>121003</v>
      </c>
      <c r="E114" s="8" t="s">
        <v>478</v>
      </c>
      <c r="F114" s="8" t="s">
        <v>182</v>
      </c>
      <c r="G114" s="8" t="s">
        <v>192</v>
      </c>
      <c r="H114" s="8" t="s">
        <v>197</v>
      </c>
    </row>
    <row r="115" customFormat="false" ht="15" hidden="false" customHeight="true" outlineLevel="0" collapsed="false">
      <c r="A115" s="8" t="s">
        <v>479</v>
      </c>
      <c r="B115" s="8" t="s">
        <v>93</v>
      </c>
      <c r="C115" s="8" t="s">
        <v>480</v>
      </c>
      <c r="D115" s="8" t="n">
        <v>121003</v>
      </c>
      <c r="E115" s="8" t="s">
        <v>394</v>
      </c>
      <c r="F115" s="8" t="s">
        <v>182</v>
      </c>
      <c r="G115" s="8" t="s">
        <v>192</v>
      </c>
      <c r="H115" s="8" t="s">
        <v>339</v>
      </c>
    </row>
    <row r="116" customFormat="false" ht="15" hidden="false" customHeight="true" outlineLevel="0" collapsed="false">
      <c r="A116" s="8" t="s">
        <v>481</v>
      </c>
      <c r="B116" s="8" t="s">
        <v>92</v>
      </c>
      <c r="C116" s="8" t="s">
        <v>482</v>
      </c>
      <c r="D116" s="8" t="n">
        <v>121003</v>
      </c>
      <c r="E116" s="8" t="s">
        <v>483</v>
      </c>
      <c r="F116" s="8" t="s">
        <v>182</v>
      </c>
      <c r="G116" s="8" t="s">
        <v>192</v>
      </c>
      <c r="H116" s="8" t="s">
        <v>201</v>
      </c>
    </row>
    <row r="117" customFormat="false" ht="15" hidden="false" customHeight="true" outlineLevel="0" collapsed="false">
      <c r="A117" s="8" t="s">
        <v>484</v>
      </c>
      <c r="B117" s="8" t="s">
        <v>91</v>
      </c>
      <c r="C117" s="8" t="s">
        <v>294</v>
      </c>
      <c r="D117" s="8" t="n">
        <v>121003</v>
      </c>
      <c r="E117" s="8" t="s">
        <v>485</v>
      </c>
      <c r="F117" s="8" t="s">
        <v>182</v>
      </c>
      <c r="G117" s="8" t="s">
        <v>192</v>
      </c>
      <c r="H117" s="8" t="s">
        <v>197</v>
      </c>
    </row>
    <row r="118" customFormat="false" ht="15" hidden="false" customHeight="true" outlineLevel="0" collapsed="false">
      <c r="A118" s="8" t="s">
        <v>486</v>
      </c>
      <c r="B118" s="8" t="s">
        <v>90</v>
      </c>
      <c r="C118" s="8" t="s">
        <v>226</v>
      </c>
      <c r="D118" s="8" t="n">
        <v>121003</v>
      </c>
      <c r="E118" s="8" t="s">
        <v>478</v>
      </c>
      <c r="F118" s="8" t="s">
        <v>182</v>
      </c>
      <c r="G118" s="8" t="s">
        <v>192</v>
      </c>
      <c r="H118" s="8" t="s">
        <v>197</v>
      </c>
    </row>
    <row r="119" customFormat="false" ht="15" hidden="false" customHeight="true" outlineLevel="0" collapsed="false">
      <c r="A119" s="8" t="s">
        <v>487</v>
      </c>
      <c r="B119" s="8" t="s">
        <v>85</v>
      </c>
      <c r="C119" s="8" t="s">
        <v>413</v>
      </c>
      <c r="D119" s="8" t="n">
        <v>121003</v>
      </c>
      <c r="E119" s="8" t="s">
        <v>394</v>
      </c>
      <c r="F119" s="8" t="s">
        <v>182</v>
      </c>
      <c r="G119" s="8" t="s">
        <v>192</v>
      </c>
      <c r="H119" s="8" t="s">
        <v>193</v>
      </c>
    </row>
    <row r="120" customFormat="false" ht="15" hidden="false" customHeight="true" outlineLevel="0" collapsed="false">
      <c r="A120" s="8" t="s">
        <v>488</v>
      </c>
      <c r="B120" s="8" t="s">
        <v>79</v>
      </c>
      <c r="C120" s="8" t="s">
        <v>341</v>
      </c>
      <c r="D120" s="8" t="n">
        <v>121003</v>
      </c>
      <c r="E120" s="8" t="s">
        <v>466</v>
      </c>
      <c r="F120" s="8" t="s">
        <v>182</v>
      </c>
      <c r="G120" s="8" t="s">
        <v>192</v>
      </c>
      <c r="H120" s="8" t="s">
        <v>197</v>
      </c>
    </row>
    <row r="121" customFormat="false" ht="15" hidden="false" customHeight="true" outlineLevel="0" collapsed="false">
      <c r="A121" s="8" t="s">
        <v>489</v>
      </c>
      <c r="B121" s="8" t="s">
        <v>74</v>
      </c>
      <c r="C121" s="8" t="s">
        <v>448</v>
      </c>
      <c r="D121" s="8" t="n">
        <v>121003</v>
      </c>
      <c r="E121" s="8" t="s">
        <v>490</v>
      </c>
      <c r="F121" s="8" t="s">
        <v>182</v>
      </c>
      <c r="G121" s="8" t="s">
        <v>192</v>
      </c>
      <c r="H121" s="8" t="s">
        <v>197</v>
      </c>
    </row>
    <row r="122" customFormat="false" ht="15" hidden="false" customHeight="true" outlineLevel="0" collapsed="false">
      <c r="A122" s="8" t="s">
        <v>491</v>
      </c>
      <c r="B122" s="8" t="s">
        <v>103</v>
      </c>
      <c r="C122" s="8" t="s">
        <v>218</v>
      </c>
      <c r="D122" s="8" t="n">
        <v>121003</v>
      </c>
      <c r="E122" s="8" t="s">
        <v>492</v>
      </c>
      <c r="F122" s="8" t="s">
        <v>182</v>
      </c>
      <c r="G122" s="8" t="s">
        <v>245</v>
      </c>
      <c r="H122" s="8" t="s">
        <v>383</v>
      </c>
    </row>
    <row r="123" customFormat="false" ht="15" hidden="false" customHeight="true" outlineLevel="0" collapsed="false">
      <c r="A123" s="8" t="s">
        <v>493</v>
      </c>
      <c r="B123" s="8" t="s">
        <v>62</v>
      </c>
      <c r="C123" s="8" t="s">
        <v>218</v>
      </c>
      <c r="D123" s="8" t="n">
        <v>121003</v>
      </c>
      <c r="E123" s="8" t="s">
        <v>494</v>
      </c>
      <c r="F123" s="8" t="s">
        <v>182</v>
      </c>
      <c r="G123" s="8" t="s">
        <v>192</v>
      </c>
      <c r="H123" s="8" t="s">
        <v>208</v>
      </c>
    </row>
    <row r="124" customFormat="false" ht="15" hidden="false" customHeight="true" outlineLevel="0" collapsed="false">
      <c r="A124" s="8" t="s">
        <v>495</v>
      </c>
      <c r="B124" s="8" t="s">
        <v>82</v>
      </c>
      <c r="C124" s="8" t="s">
        <v>218</v>
      </c>
      <c r="D124" s="8" t="n">
        <v>121003</v>
      </c>
      <c r="E124" s="8" t="s">
        <v>418</v>
      </c>
      <c r="F124" s="8" t="s">
        <v>183</v>
      </c>
      <c r="G124" s="8" t="s">
        <v>192</v>
      </c>
      <c r="H124" s="8" t="s">
        <v>239</v>
      </c>
    </row>
    <row r="125" customFormat="false" ht="15" hidden="false" customHeight="true" outlineLevel="0" collapsed="false">
      <c r="A125" s="8" t="s">
        <v>496</v>
      </c>
      <c r="B125" s="8" t="s">
        <v>86</v>
      </c>
      <c r="C125" s="8" t="s">
        <v>218</v>
      </c>
      <c r="D125" s="8" t="n">
        <v>121003</v>
      </c>
      <c r="E125" s="8" t="s">
        <v>485</v>
      </c>
      <c r="F125" s="8" t="s">
        <v>182</v>
      </c>
      <c r="G125" s="8" t="s">
        <v>192</v>
      </c>
      <c r="H125" s="8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1" width="18"/>
  </cols>
  <sheetData>
    <row r="1" customFormat="false" ht="15" hidden="false" customHeight="true" outlineLevel="0" collapsed="false">
      <c r="A1" s="7" t="s">
        <v>497</v>
      </c>
      <c r="B1" s="7" t="s">
        <v>498</v>
      </c>
      <c r="C1" s="7" t="s">
        <v>499</v>
      </c>
      <c r="D1" s="7" t="s">
        <v>500</v>
      </c>
      <c r="E1" s="7" t="s">
        <v>501</v>
      </c>
      <c r="F1" s="7" t="s">
        <v>502</v>
      </c>
      <c r="G1" s="7" t="s">
        <v>503</v>
      </c>
      <c r="H1" s="7" t="s">
        <v>504</v>
      </c>
      <c r="I1" s="7" t="s">
        <v>505</v>
      </c>
      <c r="J1" s="7" t="s">
        <v>506</v>
      </c>
      <c r="K1" s="7" t="s">
        <v>507</v>
      </c>
      <c r="L1" s="7" t="s">
        <v>508</v>
      </c>
      <c r="M1" s="7" t="s">
        <v>509</v>
      </c>
      <c r="N1" s="7" t="s">
        <v>510</v>
      </c>
      <c r="O1" s="7" t="s">
        <v>511</v>
      </c>
      <c r="P1" s="7" t="s">
        <v>512</v>
      </c>
      <c r="Q1" s="7" t="s">
        <v>513</v>
      </c>
      <c r="R1" s="7" t="s">
        <v>514</v>
      </c>
      <c r="S1" s="7" t="s">
        <v>515</v>
      </c>
      <c r="T1" s="7" t="s">
        <v>516</v>
      </c>
    </row>
    <row r="2" customFormat="false" ht="15" hidden="false" customHeight="true" outlineLevel="0" collapsed="false">
      <c r="A2" s="8" t="n">
        <v>29.5</v>
      </c>
      <c r="B2" s="8" t="n">
        <v>23.6</v>
      </c>
      <c r="C2" s="8" t="n">
        <v>33</v>
      </c>
      <c r="D2" s="8" t="n">
        <v>28.3</v>
      </c>
      <c r="E2" s="8" t="n">
        <v>40.1</v>
      </c>
      <c r="F2" s="8" t="n">
        <v>38.9</v>
      </c>
      <c r="G2" s="8" t="n">
        <v>45.4</v>
      </c>
      <c r="H2" s="8" t="n">
        <v>44.8</v>
      </c>
      <c r="I2" s="8" t="n">
        <v>56.6</v>
      </c>
      <c r="J2" s="8" t="n">
        <v>55.5</v>
      </c>
      <c r="K2" s="8" t="n">
        <v>13.6</v>
      </c>
      <c r="L2" s="8" t="n">
        <v>23.6</v>
      </c>
      <c r="M2" s="8" t="n">
        <v>20.5</v>
      </c>
      <c r="N2" s="8" t="n">
        <v>28.3</v>
      </c>
      <c r="O2" s="8" t="n">
        <v>31.9</v>
      </c>
      <c r="P2" s="8" t="n">
        <v>38.9</v>
      </c>
      <c r="Q2" s="8" t="n">
        <v>41.3</v>
      </c>
      <c r="R2" s="8" t="n">
        <v>44.8</v>
      </c>
      <c r="S2" s="8" t="n">
        <v>50.7</v>
      </c>
      <c r="T2" s="8" t="n">
        <v>55.5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2026-08-30T16:51:11Z</dcterms:created>
  <dc:creator>openpyxl</dc:creator>
  <dc:description/>
  <dc:language>en-US</dc:language>
  <cp:lastModifiedBy/>
  <dcterms:modified xsi:type="dcterms:W3CDTF">2026-08-30T16:52:20Z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